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drawings/drawing14.xml" ContentType="application/vnd.openxmlformats-officedocument.drawing+xml"/>
  <Override PartName="/xl/charts/chart14.xml" ContentType="application/vnd.openxmlformats-officedocument.drawingml.chart+xml"/>
  <Override PartName="/xl/drawings/drawing15.xml" ContentType="application/vnd.openxmlformats-officedocument.drawing+xml"/>
  <Override PartName="/xl/charts/chart15.xml" ContentType="application/vnd.openxmlformats-officedocument.drawingml.chart+xml"/>
  <Override PartName="/xl/drawings/drawing16.xml" ContentType="application/vnd.openxmlformats-officedocument.drawing+xml"/>
  <Override PartName="/xl/charts/chart16.xml" ContentType="application/vnd.openxmlformats-officedocument.drawingml.chart+xml"/>
  <Override PartName="/xl/drawings/drawing17.xml" ContentType="application/vnd.openxmlformats-officedocument.drawing+xml"/>
  <Override PartName="/xl/charts/chart17.xml" ContentType="application/vnd.openxmlformats-officedocument.drawingml.chart+xml"/>
  <Override PartName="/xl/drawings/drawing18.xml" ContentType="application/vnd.openxmlformats-officedocument.drawing+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mit Grover\Downloads\"/>
    </mc:Choice>
  </mc:AlternateContent>
  <xr:revisionPtr revIDLastSave="0" documentId="13_ncr:1_{77ADF6E3-4CBC-48E4-923F-99E35DF5C909}" xr6:coauthVersionLast="47" xr6:coauthVersionMax="47" xr10:uidLastSave="{00000000-0000-0000-0000-000000000000}"/>
  <bookViews>
    <workbookView xWindow="-120" yWindow="-120" windowWidth="51840" windowHeight="21120" tabRatio="500" xr2:uid="{00000000-000D-0000-FFFF-FFFF00000000}"/>
  </bookViews>
  <sheets>
    <sheet name="Start Here" sheetId="1" r:id="rId1"/>
    <sheet name="RICE" sheetId="2" r:id="rId2"/>
    <sheet name="Weighted Scoring" sheetId="3" r:id="rId3"/>
    <sheet name="Value vs Effort" sheetId="4" r:id="rId4"/>
    <sheet name="Kano Model" sheetId="5" r:id="rId5"/>
    <sheet name="WSJF" sheetId="6" r:id="rId6"/>
    <sheet name="MoSCoW" sheetId="7" r:id="rId7"/>
    <sheet name="Opportunity Scoring" sheetId="8" r:id="rId8"/>
    <sheet name="BCG Matrix" sheetId="9" r:id="rId9"/>
    <sheet name="Ansoff Matrix" sheetId="10" r:id="rId10"/>
    <sheet name="Porter 5 Forces" sheetId="11" r:id="rId11"/>
    <sheet name="North Star" sheetId="12" r:id="rId12"/>
    <sheet name="AARRR Funnel" sheetId="13" r:id="rId13"/>
    <sheet name="HEART" sheetId="14" r:id="rId14"/>
    <sheet name="Unit Economics" sheetId="15" r:id="rId15"/>
    <sheet name="Cohort Retention" sheetId="16" r:id="rId16"/>
    <sheet name="PMF Survey" sheetId="17" r:id="rId17"/>
    <sheet name="A-B Test" sheetId="18" r:id="rId18"/>
    <sheet name="OKR Tracker" sheetId="19" r:id="rId1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3" i="19" l="1"/>
  <c r="G13" i="19" s="1"/>
  <c r="F12" i="19"/>
  <c r="G12" i="19" s="1"/>
  <c r="F11" i="19"/>
  <c r="G11" i="19" s="1"/>
  <c r="F10" i="19"/>
  <c r="G10" i="19" s="1"/>
  <c r="F9" i="19"/>
  <c r="G9" i="19" s="1"/>
  <c r="B16" i="18"/>
  <c r="B15" i="18"/>
  <c r="E14" i="18"/>
  <c r="E15" i="18" s="1"/>
  <c r="E13" i="18"/>
  <c r="E12" i="18"/>
  <c r="E11" i="18"/>
  <c r="E10" i="18"/>
  <c r="E9" i="18"/>
  <c r="B16" i="17"/>
  <c r="B15" i="17"/>
  <c r="B14" i="17"/>
  <c r="H20" i="16"/>
  <c r="G20" i="16"/>
  <c r="F20" i="16"/>
  <c r="E20" i="16"/>
  <c r="D20" i="16"/>
  <c r="C20" i="16"/>
  <c r="B20" i="16"/>
  <c r="A20" i="16"/>
  <c r="H19" i="16"/>
  <c r="G19" i="16"/>
  <c r="F19" i="16"/>
  <c r="E19" i="16"/>
  <c r="D19" i="16"/>
  <c r="C19" i="16"/>
  <c r="B19" i="16"/>
  <c r="A19" i="16"/>
  <c r="H18" i="16"/>
  <c r="H21" i="16" s="1"/>
  <c r="G18" i="16"/>
  <c r="F18" i="16"/>
  <c r="E18" i="16"/>
  <c r="D18" i="16"/>
  <c r="C18" i="16"/>
  <c r="B18" i="16"/>
  <c r="A18" i="16"/>
  <c r="H17" i="16"/>
  <c r="G17" i="16"/>
  <c r="G21" i="16" s="1"/>
  <c r="F17" i="16"/>
  <c r="F21" i="16" s="1"/>
  <c r="E17" i="16"/>
  <c r="E21" i="16" s="1"/>
  <c r="D17" i="16"/>
  <c r="D21" i="16" s="1"/>
  <c r="C17" i="16"/>
  <c r="C21" i="16" s="1"/>
  <c r="B17" i="16"/>
  <c r="B21" i="16" s="1"/>
  <c r="A17" i="16"/>
  <c r="B17" i="15"/>
  <c r="B16" i="15"/>
  <c r="B18" i="15" s="1"/>
  <c r="B15" i="15"/>
  <c r="B14" i="15"/>
  <c r="F13" i="15"/>
  <c r="E13" i="15"/>
  <c r="B13" i="15"/>
  <c r="E12" i="15"/>
  <c r="F12" i="15" s="1"/>
  <c r="E11" i="15"/>
  <c r="F11" i="15" s="1"/>
  <c r="F10" i="15"/>
  <c r="E10" i="15"/>
  <c r="E13" i="14"/>
  <c r="E12" i="14"/>
  <c r="E11" i="14"/>
  <c r="E10" i="14"/>
  <c r="E9" i="14"/>
  <c r="D13" i="13"/>
  <c r="C13" i="13"/>
  <c r="D12" i="13"/>
  <c r="C12" i="13"/>
  <c r="D11" i="13"/>
  <c r="C11" i="13"/>
  <c r="D10" i="13"/>
  <c r="C10" i="13"/>
  <c r="D9" i="13"/>
  <c r="C13" i="12"/>
  <c r="E13" i="12" s="1"/>
  <c r="B13" i="12"/>
  <c r="E12" i="12"/>
  <c r="D12" i="12"/>
  <c r="E11" i="12"/>
  <c r="D11" i="12"/>
  <c r="E10" i="12"/>
  <c r="D10" i="12"/>
  <c r="B15" i="11"/>
  <c r="B16" i="11" s="1"/>
  <c r="B17" i="11" s="1"/>
  <c r="E12" i="10"/>
  <c r="E11" i="10"/>
  <c r="E10" i="10"/>
  <c r="E9" i="10"/>
  <c r="E14" i="9"/>
  <c r="E13" i="9"/>
  <c r="E12" i="9"/>
  <c r="E11" i="9"/>
  <c r="E10" i="9"/>
  <c r="E9" i="9"/>
  <c r="D14" i="8"/>
  <c r="E14" i="8" s="1"/>
  <c r="D13" i="8"/>
  <c r="E13" i="8" s="1"/>
  <c r="D12" i="8"/>
  <c r="E12" i="8" s="1"/>
  <c r="E11" i="8"/>
  <c r="D11" i="8"/>
  <c r="D10" i="8"/>
  <c r="E10" i="8" s="1"/>
  <c r="D9" i="8"/>
  <c r="E9" i="8" s="1"/>
  <c r="G12" i="7"/>
  <c r="F12" i="7"/>
  <c r="G11" i="7"/>
  <c r="F11" i="7"/>
  <c r="G10" i="7"/>
  <c r="F10" i="7"/>
  <c r="G9" i="7"/>
  <c r="F9" i="7"/>
  <c r="E14" i="6"/>
  <c r="G14" i="6" s="1"/>
  <c r="E13" i="6"/>
  <c r="G13" i="6" s="1"/>
  <c r="G12" i="6"/>
  <c r="E12" i="6"/>
  <c r="G11" i="6"/>
  <c r="E11" i="6"/>
  <c r="E10" i="6"/>
  <c r="G10" i="6" s="1"/>
  <c r="E9" i="6"/>
  <c r="G9" i="6" s="1"/>
  <c r="H9" i="6" s="1"/>
  <c r="I14" i="5"/>
  <c r="H14" i="5"/>
  <c r="K14" i="5" s="1"/>
  <c r="G14" i="5"/>
  <c r="L14" i="5" s="1"/>
  <c r="I13" i="5"/>
  <c r="H13" i="5"/>
  <c r="K13" i="5" s="1"/>
  <c r="G13" i="5"/>
  <c r="L13" i="5" s="1"/>
  <c r="I12" i="5"/>
  <c r="H12" i="5"/>
  <c r="K12" i="5" s="1"/>
  <c r="G12" i="5"/>
  <c r="L12" i="5" s="1"/>
  <c r="K11" i="5"/>
  <c r="I11" i="5"/>
  <c r="H11" i="5"/>
  <c r="G11" i="5"/>
  <c r="L11" i="5" s="1"/>
  <c r="I10" i="5"/>
  <c r="H10" i="5"/>
  <c r="K10" i="5" s="1"/>
  <c r="G10" i="5"/>
  <c r="L10" i="5" s="1"/>
  <c r="I9" i="5"/>
  <c r="H9" i="5"/>
  <c r="K9" i="5" s="1"/>
  <c r="G9" i="5"/>
  <c r="L9" i="5" s="1"/>
  <c r="D16" i="4"/>
  <c r="D15" i="4"/>
  <c r="D14" i="4"/>
  <c r="D13" i="4"/>
  <c r="D12" i="4"/>
  <c r="D11" i="4"/>
  <c r="D10" i="4"/>
  <c r="D9" i="4"/>
  <c r="G13" i="3"/>
  <c r="G12" i="3"/>
  <c r="G11" i="3"/>
  <c r="G10" i="3"/>
  <c r="F8" i="3"/>
  <c r="G8" i="3" s="1"/>
  <c r="F16" i="2"/>
  <c r="G16" i="2" s="1"/>
  <c r="G15" i="2"/>
  <c r="F15" i="2"/>
  <c r="F14" i="2"/>
  <c r="G14" i="2" s="1"/>
  <c r="F13" i="2"/>
  <c r="G13" i="2" s="1"/>
  <c r="G12" i="2"/>
  <c r="F12" i="2"/>
  <c r="F11" i="2"/>
  <c r="G11" i="2" s="1"/>
  <c r="F10" i="2"/>
  <c r="G10" i="2" s="1"/>
  <c r="F9" i="2"/>
  <c r="G9" i="2" s="1"/>
  <c r="H10" i="6" l="1"/>
  <c r="H14" i="6"/>
  <c r="H11" i="6"/>
  <c r="E17" i="18"/>
  <c r="E16" i="18"/>
  <c r="H13" i="6"/>
  <c r="H12" i="6"/>
  <c r="G13" i="7"/>
  <c r="G14" i="7" s="1"/>
  <c r="D13" i="12"/>
</calcChain>
</file>

<file path=xl/sharedStrings.xml><?xml version="1.0" encoding="utf-8"?>
<sst xmlns="http://schemas.openxmlformats.org/spreadsheetml/2006/main" count="442" uniqueCount="354">
  <si>
    <t>Product Management Frameworks</t>
  </si>
  <si>
    <t>Formula-based calculators &amp; charts  ·  Companion to the PDF field guide</t>
  </si>
  <si>
    <t>How to use this workbook</t>
  </si>
  <si>
    <t>Every tab is a working calculator for one framework. Type your numbers into the yellow cells and the scores, ratios and charts update automatically. White cells hold formulas — leave them alone. The example numbers are illustrative (a fictional Indian consumer app) so you can see the shape of a healthy vs unhealthy result before you plug in your own.</t>
  </si>
  <si>
    <t>Index of framework calculators</t>
  </si>
  <si>
    <t>Prioritisation</t>
  </si>
  <si>
    <t>RICE</t>
  </si>
  <si>
    <t>Score &amp; rank features by Reach × Impact × Confidence ÷ Effort</t>
  </si>
  <si>
    <t>Open ▸</t>
  </si>
  <si>
    <t>Weighted Scoring</t>
  </si>
  <si>
    <t>Rank options against weighted criteria</t>
  </si>
  <si>
    <t>Value vs Effort</t>
  </si>
  <si>
    <t>2×2 quadrant: quick wins vs money pits</t>
  </si>
  <si>
    <t>Kano Model</t>
  </si>
  <si>
    <t>Classify features: delighters, performance, must-haves</t>
  </si>
  <si>
    <t>WSJF</t>
  </si>
  <si>
    <t>SAFe: Cost of Delay ÷ Job Size</t>
  </si>
  <si>
    <t>MoSCoW</t>
  </si>
  <si>
    <t>Must / Should / Could / Won't split</t>
  </si>
  <si>
    <t>Opportunity Scoring</t>
  </si>
  <si>
    <t>Ulwick: importance vs satisfaction gaps</t>
  </si>
  <si>
    <t>Strategy &amp; Portfolio</t>
  </si>
  <si>
    <t>BCG Matrix</t>
  </si>
  <si>
    <t>Stars, Cash Cows, Question Marks, Dogs</t>
  </si>
  <si>
    <t>Ansoff Matrix</t>
  </si>
  <si>
    <t>Growth vectors &amp; risk-adjusted value</t>
  </si>
  <si>
    <t>Porter 5 Forces</t>
  </si>
  <si>
    <t>Industry attractiveness radar</t>
  </si>
  <si>
    <t>Metrics &amp; Growth</t>
  </si>
  <si>
    <t>North Star</t>
  </si>
  <si>
    <t>NSM decomposition &amp; trajectory</t>
  </si>
  <si>
    <t>AARRR Funnel</t>
  </si>
  <si>
    <t>Pirate metrics conversion funnel</t>
  </si>
  <si>
    <t>HEART</t>
  </si>
  <si>
    <t>Google's UX metrics scorecard</t>
  </si>
  <si>
    <t>Unit Economics</t>
  </si>
  <si>
    <t>LTV, CAC, payback, LTV:CAC</t>
  </si>
  <si>
    <t>Cohort Retention</t>
  </si>
  <si>
    <t>Retention curves by cohort</t>
  </si>
  <si>
    <t>PMF Survey</t>
  </si>
  <si>
    <t>Sean Ellis 40% test</t>
  </si>
  <si>
    <t>Experiments</t>
  </si>
  <si>
    <t>A-B Test</t>
  </si>
  <si>
    <t>Statistical significance calculator</t>
  </si>
  <si>
    <t>OKR Tracker</t>
  </si>
  <si>
    <t>Objective / Key Result progress</t>
  </si>
  <si>
    <t>Built as a senior-consultant-grade companion. Charts are native Excel charts and recalc when you edit inputs. Currency shown in ₹ for illustration; change the number format if you work in another currency.</t>
  </si>
  <si>
    <t>RICE Prioritisation</t>
  </si>
  <si>
    <t>Score = (Reach × Impact × Confidence) ÷ Effort  —  the higher the score, the sooner you build it</t>
  </si>
  <si>
    <t>WHEN TO USE: comparing a backlog of features/ideas objectively. Reach = how many users this affects per period. Impact = per-user effect (3=massive, 2=high, 1=medium, 0.5=low, 0.25=minimal). Confidence = how sure you are (100/80/50%). Effort = person-months of work.</t>
  </si>
  <si>
    <t xml:space="preserve">  Legend:  Yellow = your inputs (edit these)    ·    White = live formulas (leave alone)</t>
  </si>
  <si>
    <t>Feature / Idea</t>
  </si>
  <si>
    <t>Reach (users/qtr)</t>
  </si>
  <si>
    <t>Impact (0.25–3)</t>
  </si>
  <si>
    <t>Confidence</t>
  </si>
  <si>
    <t>Effort (p-months)</t>
  </si>
  <si>
    <t>RICE Score</t>
  </si>
  <si>
    <t>Rank</t>
  </si>
  <si>
    <t>1-tap reorder</t>
  </si>
  <si>
    <t>UPI autopay</t>
  </si>
  <si>
    <t>Hindi voice search</t>
  </si>
  <si>
    <t>Loyalty coins</t>
  </si>
  <si>
    <t>Group ordering</t>
  </si>
  <si>
    <t>Live order tracking</t>
  </si>
  <si>
    <t>Referral rewards</t>
  </si>
  <si>
    <t>Dark mode</t>
  </si>
  <si>
    <t>Read it: build top-ranked first. If two scores are close, the one with lower Effort de-risks faster. Beware inflated Reach — anchor it to real analytics, not hopes.</t>
  </si>
  <si>
    <t>Weighted Scoring Model</t>
  </si>
  <si>
    <t>Rank options against criteria that matter differently — weights must sum to 100%</t>
  </si>
  <si>
    <t>WHEN TO USE: choosing between a few strategic options (e.g. which market to enter) where several criteria matter unequally. Set weights on row 8 (they auto-check to 100%). Score each option 1–5 on each criterion. Total = weighted sum.</t>
  </si>
  <si>
    <t>Weights →</t>
  </si>
  <si>
    <t>Option</t>
  </si>
  <si>
    <t>Strategic fit</t>
  </si>
  <si>
    <t>Revenue upside</t>
  </si>
  <si>
    <t>Speed to ship</t>
  </si>
  <si>
    <t>Low risk</t>
  </si>
  <si>
    <t>Weighted total</t>
  </si>
  <si>
    <t>Tier-2 metros</t>
  </si>
  <si>
    <t>Tier-3 towns</t>
  </si>
  <si>
    <t>Premium urban</t>
  </si>
  <si>
    <t>SMB / kirana</t>
  </si>
  <si>
    <t>Read it: highest total wins. Weights are where the debate should happen — get stakeholders to agree on weights BEFORE scoring, so the numbers aren't reverse-engineered to a favourite.</t>
  </si>
  <si>
    <t>Value vs Effort (2×2)</t>
  </si>
  <si>
    <t>Quick Wins (high value, low effort) first; avoid the Money Pits</t>
  </si>
  <si>
    <t>WHEN TO USE: a fast, visual triage. Rate Value and Effort 1–10. The scatter plots each item; the quadrant label is auto-assigned. Aim for the top-left: high value, low effort.</t>
  </si>
  <si>
    <t>Item</t>
  </si>
  <si>
    <t>Value (1–10)</t>
  </si>
  <si>
    <t>Effort (1–10)</t>
  </si>
  <si>
    <t>Quadrant</t>
  </si>
  <si>
    <t>Live tracking</t>
  </si>
  <si>
    <t>Voice search</t>
  </si>
  <si>
    <t>AI menu recos</t>
  </si>
  <si>
    <t>Read it: Quick Wins build momentum and trust. Big Bets need a strategic reason. Money Pits (low value, high effort) are usually a 'no'. Fill-ins are for spare capacity only.</t>
  </si>
  <si>
    <t>Classify features by how they drive satisfaction: Delighters, Performance, Must-be, Indifferent</t>
  </si>
  <si>
    <t>WHEN TO USE: deciding what actually moves customer satisfaction. From paired survey questions, tally how many users put each feature in each category. Better = (Attractive+Performance)/total; Worse = −(Performance+Must-be)/total. The classification picks the most common vote.</t>
  </si>
  <si>
    <t>Feature</t>
  </si>
  <si>
    <t>Attractive</t>
  </si>
  <si>
    <t>Performance</t>
  </si>
  <si>
    <t>Must-be</t>
  </si>
  <si>
    <t>Indifferent</t>
  </si>
  <si>
    <t>Reverse</t>
  </si>
  <si>
    <t>Better coeff.</t>
  </si>
  <si>
    <t>Worse coeff.</t>
  </si>
  <si>
    <t>Classification</t>
  </si>
  <si>
    <t>|Worse| (chart)</t>
  </si>
  <si>
    <t>Better (chart)</t>
  </si>
  <si>
    <t>Hindi voice</t>
  </si>
  <si>
    <t>Fast delivery</t>
  </si>
  <si>
    <t>Read it: top-left = Must-be (fix or lose trust), top-right = Performance (more is better), high Better + low Worse = Delighters (differentiators). Indifferent = don't over-invest.</t>
  </si>
  <si>
    <t>WSJF — Weighted Shortest Job First</t>
  </si>
  <si>
    <t>SAFe prioritisation: WSJF = Cost of Delay ÷ Job Size. Do the highest WSJF first.</t>
  </si>
  <si>
    <t>WHEN TO USE: agile/SAFe backlogs where sequencing matters. Cost of Delay = User-Business Value + Time Criticality + Risk-reduction/Opportunity. Score each 1–10 (relative, not absolute). Job Size = relative effort. Short, high-value jobs rise to the top.</t>
  </si>
  <si>
    <t>User/Biz Value</t>
  </si>
  <si>
    <t>Time Criticality</t>
  </si>
  <si>
    <t>Risk/Opportunity</t>
  </si>
  <si>
    <t>Cost of Delay</t>
  </si>
  <si>
    <t>Job Size</t>
  </si>
  <si>
    <t>Read it: WSJF rewards small jobs that deliver value now. If everything is 'urgent', your Time Criticality scores aren't calibrated — force a spread from 1 to 10.</t>
  </si>
  <si>
    <t>Scope a release: Must-have, Should-have, Could-have, Won't-have (this time)</t>
  </si>
  <si>
    <t>WHEN TO USE: agreeing scope for a release or MVP. Tag each item M/S/C/W. Rule of thumb: Must-haves should be ≤60% of effort, leaving slack for the unknown. The summary and pie update automatically.</t>
  </si>
  <si>
    <t>Category (M/S/C/W)</t>
  </si>
  <si>
    <t>Effort (days)</t>
  </si>
  <si>
    <t>Category</t>
  </si>
  <si>
    <t>Items</t>
  </si>
  <si>
    <t>Checkout works</t>
  </si>
  <si>
    <t>M</t>
  </si>
  <si>
    <t>Must</t>
  </si>
  <si>
    <t>UPI payment</t>
  </si>
  <si>
    <t>Should</t>
  </si>
  <si>
    <t>Order tracking</t>
  </si>
  <si>
    <t>Could</t>
  </si>
  <si>
    <t>S</t>
  </si>
  <si>
    <t>Won't</t>
  </si>
  <si>
    <t>Total effort</t>
  </si>
  <si>
    <t>C</t>
  </si>
  <si>
    <t>Must-have % of effort</t>
  </si>
  <si>
    <t>AR menu</t>
  </si>
  <si>
    <t>W</t>
  </si>
  <si>
    <t>Read it: if Must-have effort blows past ~60%, you have no room to absorb surprises — renegotiate scope now, not at crunch.</t>
  </si>
  <si>
    <t>Opportunity Scoring (Ulwick / ODI)</t>
  </si>
  <si>
    <t>Find under-served needs: Opportunity = Importance + max(Importance − Satisfaction, 0)</t>
  </si>
  <si>
    <t>WHEN TO USE: outcome-driven innovation. Survey users on how IMPORTANT an outcome is and how SATISFIED they are today (both 1–10). High importance + low satisfaction = the biggest opportunity. Score &gt;10 is a strong signal, &gt;15 is exceptional.</t>
  </si>
  <si>
    <t>Desired outcome (job step)</t>
  </si>
  <si>
    <t>Importance (1–10)</t>
  </si>
  <si>
    <t>Satisfaction (1–10)</t>
  </si>
  <si>
    <t>Opportunity</t>
  </si>
  <si>
    <t>Get food fast when hungry</t>
  </si>
  <si>
    <t>Trust the delivery ETA</t>
  </si>
  <si>
    <t>Pay without friction</t>
  </si>
  <si>
    <t>Discover new dishes I'll like</t>
  </si>
  <si>
    <t>Reorder favourites easily</t>
  </si>
  <si>
    <t>Resolve a wrong order</t>
  </si>
  <si>
    <t>Read it: attack the highest opportunity scores — that's where users care a lot and current solutions disappoint. Well-served outcomes (high importance, high satisfaction) are table-stakes, not differentiators.</t>
  </si>
  <si>
    <t>BCG Growth–Share Matrix</t>
  </si>
  <si>
    <t>Portfolio view: Stars, Cash Cows, Question Marks, Dogs — decide where to invest, milk, or exit</t>
  </si>
  <si>
    <t>WHEN TO USE: allocating money/attention across a portfolio of products or lines. Market Growth = the market's annual growth (invest if high). Relative Market Share = your share ÷ largest rival's share (&gt;1 means you lead). Bubble size = revenue. Category is auto-assigned at the 10% / 1.0x lines.</t>
  </si>
  <si>
    <t>Product / Line</t>
  </si>
  <si>
    <t>Market Growth</t>
  </si>
  <si>
    <t>Relative Mkt Share (x)</t>
  </si>
  <si>
    <t>Revenue (₹ cr)</t>
  </si>
  <si>
    <t>Food delivery</t>
  </si>
  <si>
    <t>Grocery (10-min)</t>
  </si>
  <si>
    <t>Dining-out coupons</t>
  </si>
  <si>
    <t>Cloud kitchens</t>
  </si>
  <si>
    <t>Ads / media</t>
  </si>
  <si>
    <t>Print vouchers</t>
  </si>
  <si>
    <t>Play: fund Stars, milk Cash Cows to fund Stars/Question Marks, pick 1–2 Question Marks to back hard, and divest Dogs. Everything can't be a Star — a healthy portfolio needs Cash Cows paying the bills.</t>
  </si>
  <si>
    <t>Ansoff Growth Matrix</t>
  </si>
  <si>
    <t>Four growth vectors, rising risk: Market Penetration → Product Development / Market Development → Diversification</t>
  </si>
  <si>
    <t>WHEN TO USE: choosing HOW to grow. Existing product + existing market = Penetration (lowest risk). New product OR new market = medium risk. New product AND new market = Diversification (highest risk). Enter expected revenue and a success probability; risk-adjusted value ranks them.</t>
  </si>
  <si>
    <t>Initiative</t>
  </si>
  <si>
    <t>Growth vector</t>
  </si>
  <si>
    <t>Expected rev (₹ cr)</t>
  </si>
  <si>
    <t>Success prob.</t>
  </si>
  <si>
    <t>Risk-adjusted value</t>
  </si>
  <si>
    <t>Push reorders to existing users</t>
  </si>
  <si>
    <t>Market Penetration</t>
  </si>
  <si>
    <t>Launch grocery to same users</t>
  </si>
  <si>
    <t>Product Development</t>
  </si>
  <si>
    <t>Enter Tier-3 towns</t>
  </si>
  <si>
    <t>Market Development</t>
  </si>
  <si>
    <t>Fintech lending, new users</t>
  </si>
  <si>
    <t>Diversification</t>
  </si>
  <si>
    <t>Read it: growth gets riskier as you move away from what you know. Weight your roadmap toward penetration for cash, a measured bet or two on adjacent products/markets, and diversify only with strong conviction and a ring-fenced budget.</t>
  </si>
  <si>
    <t>Porter's Five Forces</t>
  </si>
  <si>
    <t>How attractive is this market? Score each force 1 (benign) to 5 (brutal). Lower total = more attractive.</t>
  </si>
  <si>
    <t>WHEN TO USE: assessing structural profitability of a market before entering or doubling down. Score the THREAT level of each force. The radar shows your risk shape; overall attractiveness = 6 − average score (higher is better).</t>
  </si>
  <si>
    <t>Force</t>
  </si>
  <si>
    <t>Threat (1–5)</t>
  </si>
  <si>
    <t>Your notes</t>
  </si>
  <si>
    <t>Competitive rivalry</t>
  </si>
  <si>
    <t>Zomato, Swiggy, local aggregators</t>
  </si>
  <si>
    <t>Threat of new entrants</t>
  </si>
  <si>
    <t>High capital + network effects deter, but funding is available</t>
  </si>
  <si>
    <t>Supplier power (restaurants)</t>
  </si>
  <si>
    <t>Large chains negotiate hard on commission</t>
  </si>
  <si>
    <t>Buyer power (users)</t>
  </si>
  <si>
    <t>Low switching cost, coupon-driven</t>
  </si>
  <si>
    <t>Threat of substitutes</t>
  </si>
  <si>
    <t>Home cooking, dine-in, direct restaurant apps</t>
  </si>
  <si>
    <t>Average threat</t>
  </si>
  <si>
    <t>Attractiveness (6 − avg)</t>
  </si>
  <si>
    <t>Verdict</t>
  </si>
  <si>
    <t>Read it: a market where four forces are '5' can still be entered — but only with a wedge (a segment rivals ignore) and a durable moat. Use this to choose WHERE to compete, not just whether.</t>
  </si>
  <si>
    <t>North Star Metric</t>
  </si>
  <si>
    <t>One metric that captures the value users get — decomposed into the inputs a team can actually move</t>
  </si>
  <si>
    <t>WHEN TO USE: aligning the whole team behind value, not vanity. Pick an NSM that rises only when customers succeed (e.g. 'weekly orders delivered on time'). Decompose it into 2–4 input metrics you can influence. Track actual vs target monthly.</t>
  </si>
  <si>
    <t>1 · North Star decomposition   (NSM = Active users × Orders per user × On-time rate)</t>
  </si>
  <si>
    <t>Input driver</t>
  </si>
  <si>
    <t>Current</t>
  </si>
  <si>
    <t>90-day target</t>
  </si>
  <si>
    <t>Change</t>
  </si>
  <si>
    <t>% change</t>
  </si>
  <si>
    <t>Monthly active users (000s)</t>
  </si>
  <si>
    <t>Orders per user / month</t>
  </si>
  <si>
    <t>On-time delivery rate</t>
  </si>
  <si>
    <t>NORTH STAR (monthly on-time orders, mn)</t>
  </si>
  <si>
    <t>2 · Monthly trajectory (actual vs target)</t>
  </si>
  <si>
    <t>Month</t>
  </si>
  <si>
    <t>NSM actual (mn)</t>
  </si>
  <si>
    <t>NSM target (mn)</t>
  </si>
  <si>
    <t>Jan</t>
  </si>
  <si>
    <t>Feb</t>
  </si>
  <si>
    <t>Mar</t>
  </si>
  <si>
    <t>Apr</t>
  </si>
  <si>
    <t>May</t>
  </si>
  <si>
    <t>Jun</t>
  </si>
  <si>
    <t>Jul</t>
  </si>
  <si>
    <t>Aug</t>
  </si>
  <si>
    <t>Sep</t>
  </si>
  <si>
    <t>Read it: if input drivers are all green but the NSM lags, your model of value is wrong — revisit which inputs truly cause the outcome. A good NSM is a leading indicator of revenue, not revenue itself.</t>
  </si>
  <si>
    <t>AARRR — Pirate Metrics</t>
  </si>
  <si>
    <t>The lifecycle funnel: Acquisition → Activation → Retention → Revenue → Referral. Find the leakiest step.</t>
  </si>
  <si>
    <t>WHEN TO USE: diagnosing where users drop off. Enter the count reaching each stage. Step conversion = this stage ÷ previous stage. % of top = this stage ÷ acquisition. The biggest drop is usually your highest-leverage fix.</t>
  </si>
  <si>
    <t>Stage</t>
  </si>
  <si>
    <t>Users</t>
  </si>
  <si>
    <t>Step conversion</t>
  </si>
  <si>
    <t>% of Acquisition</t>
  </si>
  <si>
    <t>What it means</t>
  </si>
  <si>
    <t>Acquisition</t>
  </si>
  <si>
    <t>—</t>
  </si>
  <si>
    <t>People who arrive</t>
  </si>
  <si>
    <t>Activation</t>
  </si>
  <si>
    <t>Hit the 'aha' (first order)</t>
  </si>
  <si>
    <t>Retention</t>
  </si>
  <si>
    <t>Come back in 30 days</t>
  </si>
  <si>
    <t>Revenue</t>
  </si>
  <si>
    <t>Pay / order again</t>
  </si>
  <si>
    <t>Referral</t>
  </si>
  <si>
    <t>Invite someone</t>
  </si>
  <si>
    <t>Read it: don't pour money into Acquisition if Activation is leaking. Fix the funnel bottom-up — retention first, because retained users make every other number cheaper.</t>
  </si>
  <si>
    <t>Google HEART Framework</t>
  </si>
  <si>
    <t>Measure UX quality across Happiness, Engagement, Adoption, Retention, Task success</t>
  </si>
  <si>
    <t>WHEN TO USE: turning fuzzy 'good experience' into trackable metrics. For each category pick ONE signal metric, set current &amp; target. % attainment shows how close you are. Don't track all five if only two matter for this feature.</t>
  </si>
  <si>
    <t>Signal metric</t>
  </si>
  <si>
    <t>Target</t>
  </si>
  <si>
    <t>% attain</t>
  </si>
  <si>
    <t>Happiness</t>
  </si>
  <si>
    <t>CSAT / app rating</t>
  </si>
  <si>
    <t>Engagement</t>
  </si>
  <si>
    <t>Orders per active user / wk</t>
  </si>
  <si>
    <t>Adoption</t>
  </si>
  <si>
    <t>New-feature uptake in 30d</t>
  </si>
  <si>
    <t>D30 retention</t>
  </si>
  <si>
    <t>Task success</t>
  </si>
  <si>
    <t>Checkout completion rate</t>
  </si>
  <si>
    <t>Read it: pair each metric with a Goal→Signal→Metric logic so you're measuring the behaviour that proves the goal, not the easiest number to collect. Retention and Task success are usually the truthful ones.</t>
  </si>
  <si>
    <t>Unit Economics — LTV, CAC &amp; Payback</t>
  </si>
  <si>
    <t>Does each customer make more than they cost? The single most important growth question.</t>
  </si>
  <si>
    <t>WHEN TO USE: validating that growth is profitable, not just fast. Enter the four blue inputs. Lifetime = 1 ÷ monthly churn. LTV = ARPU × gross margin × lifetime. Aim for LTV:CAC ≥ 3 and payback ≤ 12 months.</t>
  </si>
  <si>
    <t>Inputs &amp; results</t>
  </si>
  <si>
    <t>Sensitivity: churn → LTV &amp; ratio</t>
  </si>
  <si>
    <t>ARPU — revenue per user / month</t>
  </si>
  <si>
    <t>Monthly churn</t>
  </si>
  <si>
    <t>LTV</t>
  </si>
  <si>
    <t>LTV:CAC</t>
  </si>
  <si>
    <t>Gross margin</t>
  </si>
  <si>
    <t>Monthly churn rate</t>
  </si>
  <si>
    <t>CAC — cost to acquire a customer</t>
  </si>
  <si>
    <t>Avg customer lifetime (months)</t>
  </si>
  <si>
    <t>Contribution / month (ARPU × margin)</t>
  </si>
  <si>
    <t>LTV (lifetime value)</t>
  </si>
  <si>
    <t>LTV : CAC ratio</t>
  </si>
  <si>
    <t>CAC payback (months)</t>
  </si>
  <si>
    <t>Health verdict</t>
  </si>
  <si>
    <t>Read it: churn is the silent killer — halving churn doubles lifetime and LTV. If LTV:CAC &lt; 3, either lower CAC (better targeting/organic), raise ARPU, or cut churn before you scale spend.</t>
  </si>
  <si>
    <t>Track how each monthly signup group sticks around over time — the truest measure of product value</t>
  </si>
  <si>
    <t>WHEN TO USE: judging real stickiness and product-market fit. Enter cohort size (Month 0 users) and how many are still active each later month. Retention % is auto-calculated. A flattening curve (retention stops falling) is the signal of PMF.</t>
  </si>
  <si>
    <t>1 · Retained users (enter counts)</t>
  </si>
  <si>
    <t>Cohort</t>
  </si>
  <si>
    <t>Size (M0)</t>
  </si>
  <si>
    <t>M1</t>
  </si>
  <si>
    <t>M2</t>
  </si>
  <si>
    <t>M3</t>
  </si>
  <si>
    <t>M4</t>
  </si>
  <si>
    <t>M5</t>
  </si>
  <si>
    <t>M6</t>
  </si>
  <si>
    <t>2 · Retention % (auto: retained ÷ cohort size)</t>
  </si>
  <si>
    <t>M0</t>
  </si>
  <si>
    <t>Average</t>
  </si>
  <si>
    <t>Read it: if every cohort keeps declining to near-zero, you don't have PMF yet. A curve that flattens at, say, 28% means a loyal core — newer cohorts flattening HIGHER means your product is improving.</t>
  </si>
  <si>
    <t>Product-Market Fit Survey (Sean Ellis test)</t>
  </si>
  <si>
    <t>Ask users: 'How would you feel if you could no longer use this product?' ≥40% 'very disappointed' = PMF signal</t>
  </si>
  <si>
    <t>WHEN TO USE: gauging whether you have product-market fit. Survey engaged users. Count responses in each bucket. The score = 'very disappointed' ÷ (all answers except N/A). 40% is the benchmark from thousands of startups.</t>
  </si>
  <si>
    <t>Responses</t>
  </si>
  <si>
    <t>Response</t>
  </si>
  <si>
    <t>Count</t>
  </si>
  <si>
    <t>Very disappointed</t>
  </si>
  <si>
    <t>Somewhat disappointed</t>
  </si>
  <si>
    <t>Not disappointed</t>
  </si>
  <si>
    <t>N/A – I no longer use it</t>
  </si>
  <si>
    <t>Valid responses (excl. N/A)</t>
  </si>
  <si>
    <t>PMF score (% very disappointed)</t>
  </si>
  <si>
    <t>Verdict vs 40% benchmark</t>
  </si>
  <si>
    <t>Read it: below 40%, segment the 'very disappointed' users — who are they, what do they love? Double down on that persona and use-case before broadening. This survey guides positioning as much as product.</t>
  </si>
  <si>
    <t>A/B Test Significance Calculator</t>
  </si>
  <si>
    <t>Is the difference real or noise? Two-proportion z-test with 95% / 99% thresholds</t>
  </si>
  <si>
    <t>WHEN TO USE: deciding if a variant genuinely beats control. Enter visitors and conversions for each. The calculator returns conversion rates, relative uplift, a z-score and whether it clears the 95% (z&gt;1.96) and 99% (z&gt;2.576) bars. Aim for a pre-set sample size, don't peek early.</t>
  </si>
  <si>
    <t>Inputs</t>
  </si>
  <si>
    <t>Results</t>
  </si>
  <si>
    <t>Metric</t>
  </si>
  <si>
    <t>Value</t>
  </si>
  <si>
    <t>Control conversion rate</t>
  </si>
  <si>
    <t>Control — visitors</t>
  </si>
  <si>
    <t>Variant conversion rate</t>
  </si>
  <si>
    <t>Control — conversions</t>
  </si>
  <si>
    <t>Absolute difference</t>
  </si>
  <si>
    <t>Variant — visitors</t>
  </si>
  <si>
    <t>Relative uplift</t>
  </si>
  <si>
    <t>Variant — conversions</t>
  </si>
  <si>
    <t>Pooled rate</t>
  </si>
  <si>
    <t>Standard error</t>
  </si>
  <si>
    <t>Control</t>
  </si>
  <si>
    <t>z-score</t>
  </si>
  <si>
    <t>Variant</t>
  </si>
  <si>
    <t>Significant at 95%? (|z|&gt;1.96)</t>
  </si>
  <si>
    <t>Significant at 99%? (|z|&gt;2.576)</t>
  </si>
  <si>
    <t>Read it: 'not significant' doesn't mean 'no effect' — it may mean too little data. Decide your sample size and duration up front. Practical significance (is the uplift worth shipping?) matters as much as statistical significance.</t>
  </si>
  <si>
    <t>Objectives are the ambition; Key Results are the measurable proof. Track progress, not activity.</t>
  </si>
  <si>
    <t>WHEN TO USE: quarterly goal-setting and mid-cycle check-ins. Each Objective gets 2–4 Key Results with a Start, Current and Target. Progress = (Current − Start) ÷ (Target − Start). 0.7 is often 'success' for a stretch KR — 1.0 everywhere means you set them too easy.</t>
  </si>
  <si>
    <t>Objective</t>
  </si>
  <si>
    <t>Key Result</t>
  </si>
  <si>
    <t>Start</t>
  </si>
  <si>
    <t>Progress</t>
  </si>
  <si>
    <t>Status</t>
  </si>
  <si>
    <t>Make ordering effortless</t>
  </si>
  <si>
    <t>D30 retention (%)</t>
  </si>
  <si>
    <t>Checkout completion (%)</t>
  </si>
  <si>
    <t>Win Tier-2 metros</t>
  </si>
  <si>
    <t>Tier-2 MAU (000s)</t>
  </si>
  <si>
    <t>Tier-2 orders/user/mo</t>
  </si>
  <si>
    <t>Fund growth sustainably</t>
  </si>
  <si>
    <t>LTV:CAC ratio</t>
  </si>
  <si>
    <t>Read it: OKRs measure outcomes, not tasks. 'Ship feature X' is not a Key Result; 'raise retention to 40%' is. Review weekly, grade at quarter-end, and don't tie 100%-or-bust bonuses to stretch OKRs — it kills ambition.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</si>
</sst>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
    <numFmt numFmtId="167" formatCode="0.00\x"/>
    <numFmt numFmtId="168" formatCode="0.0000"/>
  </numFmts>
  <fonts count="19" x14ac:knownFonts="1">
    <font>
      <sz val="11"/>
      <color theme="1"/>
      <name val="Calibri"/>
      <family val="2"/>
      <charset val="1"/>
    </font>
    <font>
      <b/>
      <sz val="24"/>
      <color rgb="FFFFFFFF"/>
      <name val="Arial"/>
      <family val="2"/>
    </font>
    <font>
      <i/>
      <sz val="11"/>
      <color rgb="FFFFFFFF"/>
      <name val="Arial"/>
      <family val="2"/>
    </font>
    <font>
      <b/>
      <sz val="13"/>
      <color rgb="FF0E7C7B"/>
      <name val="Arial"/>
      <family val="2"/>
    </font>
    <font>
      <sz val="10"/>
      <color rgb="FF1A1A1A"/>
      <name val="Arial"/>
      <family val="2"/>
    </font>
    <font>
      <b/>
      <sz val="11"/>
      <color rgb="FFFFFFFF"/>
      <name val="Arial"/>
      <family val="2"/>
    </font>
    <font>
      <b/>
      <sz val="10"/>
      <color rgb="FFFFFFFF"/>
      <name val="Arial"/>
      <family val="2"/>
    </font>
    <font>
      <b/>
      <sz val="10"/>
      <color rgb="FF2E5AAC"/>
      <name val="Arial"/>
      <family val="2"/>
    </font>
    <font>
      <b/>
      <sz val="9"/>
      <color rgb="FF666666"/>
      <name val="Arial"/>
      <family val="2"/>
    </font>
    <font>
      <i/>
      <sz val="9"/>
      <color rgb="FF666666"/>
      <name val="Arial"/>
      <family val="2"/>
    </font>
    <font>
      <b/>
      <sz val="18"/>
      <color rgb="FFFFFFFF"/>
      <name val="Arial"/>
      <family val="2"/>
    </font>
    <font>
      <i/>
      <sz val="10"/>
      <color rgb="FFFFFFFF"/>
      <name val="Arial"/>
      <family val="2"/>
    </font>
    <font>
      <b/>
      <sz val="9"/>
      <color rgb="FF12203A"/>
      <name val="Arial"/>
      <family val="2"/>
    </font>
    <font>
      <sz val="10"/>
      <color rgb="FF0000FF"/>
      <name val="Arial"/>
      <family val="2"/>
    </font>
    <font>
      <b/>
      <sz val="10"/>
      <color rgb="FF1A1A1A"/>
      <name val="Arial"/>
      <family val="2"/>
    </font>
    <font>
      <sz val="10"/>
      <color rgb="FF1E8E3E"/>
      <name val="Arial"/>
      <family val="2"/>
    </font>
    <font>
      <b/>
      <sz val="10"/>
      <color rgb="FF12203A"/>
      <name val="Arial"/>
      <family val="2"/>
    </font>
    <font>
      <b/>
      <sz val="10"/>
      <color rgb="FF0000FF"/>
      <name val="Arial"/>
      <family val="2"/>
    </font>
    <font>
      <b/>
      <sz val="10"/>
      <color rgb="FF0E7C7B"/>
      <name val="Arial"/>
      <family val="2"/>
    </font>
  </fonts>
  <fills count="8">
    <fill>
      <patternFill patternType="none"/>
    </fill>
    <fill>
      <patternFill patternType="gray125"/>
    </fill>
    <fill>
      <patternFill patternType="solid">
        <fgColor rgb="FF1F2A44"/>
        <bgColor rgb="FF12203A"/>
      </patternFill>
    </fill>
    <fill>
      <patternFill patternType="solid">
        <fgColor rgb="FF2E5AAC"/>
        <bgColor rgb="FF333399"/>
      </patternFill>
    </fill>
    <fill>
      <patternFill patternType="solid">
        <fgColor rgb="FF0E7C7B"/>
        <bgColor rgb="FF1E8E3E"/>
      </patternFill>
    </fill>
    <fill>
      <patternFill patternType="solid">
        <fgColor rgb="FFEEF2F9"/>
        <bgColor rgb="FFF4F7FB"/>
      </patternFill>
    </fill>
    <fill>
      <patternFill patternType="solid">
        <fgColor rgb="FFFFF6D6"/>
        <bgColor rgb="FFF4F7FB"/>
      </patternFill>
    </fill>
    <fill>
      <patternFill patternType="solid">
        <fgColor rgb="FFF4F7FB"/>
        <bgColor rgb="FFEEF2F9"/>
      </patternFill>
    </fill>
  </fills>
  <borders count="3">
    <border>
      <left/>
      <right/>
      <top/>
      <bottom/>
      <diagonal/>
    </border>
    <border>
      <left style="thin">
        <color rgb="FFC7D0DE"/>
      </left>
      <right style="thin">
        <color rgb="FFC7D0DE"/>
      </right>
      <top style="thin">
        <color rgb="FFC7D0DE"/>
      </top>
      <bottom style="thin">
        <color rgb="FFC7D0DE"/>
      </bottom>
      <diagonal/>
    </border>
    <border>
      <left style="thin">
        <color rgb="FFC7D0DE"/>
      </left>
      <right/>
      <top style="thin">
        <color rgb="FFC7D0DE"/>
      </top>
      <bottom style="thin">
        <color rgb="FFC7D0DE"/>
      </bottom>
      <diagonal/>
    </border>
  </borders>
  <cellStyleXfs count="1">
    <xf numFmtId="0" fontId="0" fillId="0" borderId="0"/>
  </cellStyleXfs>
  <cellXfs count="57">
    <xf numFmtId="0" fontId="0" fillId="0" borderId="0" xfId="0"/>
    <xf numFmtId="0" fontId="12" fillId="6" borderId="2" xfId="0" applyFont="1" applyFill="1" applyBorder="1" applyAlignment="1">
      <alignment horizontal="left" vertical="center" wrapText="1"/>
    </xf>
    <xf numFmtId="0" fontId="12" fillId="6" borderId="1" xfId="0" applyFont="1" applyFill="1" applyBorder="1" applyAlignment="1">
      <alignment horizontal="left" vertical="center" wrapText="1"/>
    </xf>
    <xf numFmtId="0" fontId="11" fillId="3" borderId="0" xfId="0" applyFont="1" applyFill="1" applyAlignment="1">
      <alignment horizontal="left" vertical="center" wrapText="1" indent="1"/>
    </xf>
    <xf numFmtId="0" fontId="10" fillId="2" borderId="0" xfId="0" applyFont="1" applyFill="1" applyAlignment="1">
      <alignment horizontal="left" vertical="center" indent="1"/>
    </xf>
    <xf numFmtId="0" fontId="9" fillId="0" borderId="0" xfId="0" applyFont="1" applyAlignment="1">
      <alignment horizontal="left" vertical="top" wrapText="1"/>
    </xf>
    <xf numFmtId="0" fontId="6" fillId="4" borderId="0" xfId="0" applyFont="1" applyFill="1" applyAlignment="1">
      <alignment horizontal="left" vertical="center" indent="1"/>
    </xf>
    <xf numFmtId="0" fontId="5" fillId="4" borderId="0" xfId="0" applyFont="1" applyFill="1" applyAlignment="1">
      <alignment horizontal="left" vertical="center" indent="1"/>
    </xf>
    <xf numFmtId="0" fontId="4" fillId="0" borderId="0" xfId="0" applyFont="1" applyAlignment="1">
      <alignment horizontal="left" vertical="top" wrapText="1"/>
    </xf>
    <xf numFmtId="0" fontId="3" fillId="0" borderId="0" xfId="0" applyFont="1"/>
    <xf numFmtId="0" fontId="2" fillId="3" borderId="0" xfId="0" applyFont="1" applyFill="1" applyAlignment="1">
      <alignment horizontal="left" vertical="center" indent="1"/>
    </xf>
    <xf numFmtId="0" fontId="1" fillId="2" borderId="0" xfId="0" applyFont="1" applyFill="1" applyAlignment="1">
      <alignment horizontal="left" vertical="center" indent="1"/>
    </xf>
    <xf numFmtId="0" fontId="7" fillId="5" borderId="1" xfId="0" applyFont="1" applyFill="1" applyBorder="1" applyAlignment="1">
      <alignment horizontal="left" vertical="center" indent="1"/>
    </xf>
    <xf numFmtId="0" fontId="4" fillId="0" borderId="1" xfId="0" applyFont="1" applyBorder="1" applyAlignment="1">
      <alignment horizontal="left" vertical="center" wrapText="1"/>
    </xf>
    <xf numFmtId="0" fontId="8"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0" fontId="13" fillId="6" borderId="1" xfId="0" applyFont="1" applyFill="1" applyBorder="1" applyAlignment="1">
      <alignment horizontal="left" vertical="center" wrapText="1"/>
    </xf>
    <xf numFmtId="3" fontId="13" fillId="6" borderId="1" xfId="0" applyNumberFormat="1" applyFont="1" applyFill="1" applyBorder="1" applyAlignment="1">
      <alignment horizontal="right" vertical="center"/>
    </xf>
    <xf numFmtId="2" fontId="13" fillId="6" borderId="1" xfId="0" applyNumberFormat="1" applyFont="1" applyFill="1" applyBorder="1" applyAlignment="1">
      <alignment horizontal="right" vertical="center"/>
    </xf>
    <xf numFmtId="9" fontId="13" fillId="6" borderId="1" xfId="0" applyNumberFormat="1" applyFont="1" applyFill="1" applyBorder="1" applyAlignment="1">
      <alignment horizontal="right" vertical="center"/>
    </xf>
    <xf numFmtId="164" fontId="13" fillId="6" borderId="1" xfId="0" applyNumberFormat="1" applyFont="1" applyFill="1" applyBorder="1" applyAlignment="1">
      <alignment horizontal="right" vertical="center"/>
    </xf>
    <xf numFmtId="3" fontId="14" fillId="7" borderId="1" xfId="0" applyNumberFormat="1" applyFont="1" applyFill="1" applyBorder="1" applyAlignment="1">
      <alignment horizontal="right" vertical="center"/>
    </xf>
    <xf numFmtId="0" fontId="14" fillId="7" borderId="1" xfId="0" applyFont="1" applyFill="1" applyBorder="1" applyAlignment="1">
      <alignment horizontal="center" vertical="center" wrapText="1"/>
    </xf>
    <xf numFmtId="0" fontId="14" fillId="5" borderId="1" xfId="0" applyFont="1" applyFill="1" applyBorder="1" applyAlignment="1">
      <alignment horizontal="right" vertical="center"/>
    </xf>
    <xf numFmtId="9" fontId="14" fillId="7" borderId="1" xfId="0" applyNumberFormat="1" applyFont="1" applyFill="1" applyBorder="1" applyAlignment="1">
      <alignment horizontal="right" vertical="center"/>
    </xf>
    <xf numFmtId="0" fontId="15" fillId="7" borderId="1" xfId="0" applyFont="1" applyFill="1" applyBorder="1" applyAlignment="1">
      <alignment horizontal="center" vertical="center" wrapText="1"/>
    </xf>
    <xf numFmtId="1" fontId="13" fillId="6" borderId="1" xfId="0" applyNumberFormat="1" applyFont="1" applyFill="1" applyBorder="1" applyAlignment="1">
      <alignment horizontal="right" vertical="center"/>
    </xf>
    <xf numFmtId="0" fontId="4" fillId="7" borderId="1" xfId="0" applyFont="1" applyFill="1" applyBorder="1" applyAlignment="1">
      <alignment horizontal="center" vertical="center" wrapText="1"/>
    </xf>
    <xf numFmtId="2" fontId="14" fillId="7" borderId="1" xfId="0" applyNumberFormat="1" applyFont="1" applyFill="1" applyBorder="1" applyAlignment="1">
      <alignment horizontal="right" vertical="center"/>
    </xf>
    <xf numFmtId="2" fontId="4" fillId="7" borderId="1" xfId="0" applyNumberFormat="1" applyFont="1" applyFill="1" applyBorder="1" applyAlignment="1">
      <alignment horizontal="right" vertical="center"/>
    </xf>
    <xf numFmtId="1" fontId="4" fillId="7" borderId="1" xfId="0" applyNumberFormat="1" applyFont="1" applyFill="1" applyBorder="1" applyAlignment="1">
      <alignment horizontal="right" vertical="center"/>
    </xf>
    <xf numFmtId="0" fontId="13" fillId="6" borderId="1" xfId="0" applyFont="1" applyFill="1" applyBorder="1" applyAlignment="1">
      <alignment horizontal="center" vertical="center" wrapText="1"/>
    </xf>
    <xf numFmtId="0" fontId="14" fillId="0" borderId="1" xfId="0" applyFont="1" applyBorder="1" applyAlignment="1">
      <alignment horizontal="left" vertical="center" wrapText="1"/>
    </xf>
    <xf numFmtId="3" fontId="4" fillId="7" borderId="1" xfId="0" applyNumberFormat="1" applyFont="1" applyFill="1" applyBorder="1" applyAlignment="1">
      <alignment horizontal="right" vertical="center"/>
    </xf>
    <xf numFmtId="1" fontId="13" fillId="6" borderId="1" xfId="0" applyNumberFormat="1" applyFont="1" applyFill="1" applyBorder="1" applyAlignment="1">
      <alignment horizontal="center" vertical="center" wrapText="1"/>
    </xf>
    <xf numFmtId="164" fontId="4" fillId="7" borderId="1" xfId="0" applyNumberFormat="1" applyFont="1" applyFill="1" applyBorder="1" applyAlignment="1">
      <alignment horizontal="right" vertical="center"/>
    </xf>
    <xf numFmtId="165" fontId="4" fillId="7" borderId="1" xfId="0" applyNumberFormat="1" applyFont="1" applyFill="1" applyBorder="1" applyAlignment="1">
      <alignment horizontal="right" vertical="center"/>
    </xf>
    <xf numFmtId="9" fontId="4" fillId="7" borderId="1" xfId="0" applyNumberFormat="1" applyFont="1" applyFill="1" applyBorder="1" applyAlignment="1">
      <alignment horizontal="right" vertical="center"/>
    </xf>
    <xf numFmtId="0" fontId="16" fillId="0" borderId="1" xfId="0" applyFont="1" applyBorder="1" applyAlignment="1">
      <alignment horizontal="left" vertical="center" wrapText="1"/>
    </xf>
    <xf numFmtId="164" fontId="16" fillId="7" borderId="1" xfId="0" applyNumberFormat="1" applyFont="1" applyFill="1" applyBorder="1" applyAlignment="1">
      <alignment horizontal="right" vertical="center"/>
    </xf>
    <xf numFmtId="164" fontId="14" fillId="7" borderId="1" xfId="0" applyNumberFormat="1" applyFont="1" applyFill="1" applyBorder="1" applyAlignment="1">
      <alignment horizontal="right" vertical="center"/>
    </xf>
    <xf numFmtId="165" fontId="14" fillId="7" borderId="1" xfId="0" applyNumberFormat="1" applyFont="1" applyFill="1" applyBorder="1" applyAlignment="1">
      <alignment horizontal="right" vertical="center"/>
    </xf>
    <xf numFmtId="0" fontId="17" fillId="6" borderId="1" xfId="0" applyFont="1" applyFill="1" applyBorder="1" applyAlignment="1">
      <alignment horizontal="left" vertical="center" wrapText="1"/>
    </xf>
    <xf numFmtId="0" fontId="18" fillId="0" borderId="1" xfId="0" applyFont="1" applyBorder="1" applyAlignment="1">
      <alignment horizontal="left" vertical="center" wrapText="1"/>
    </xf>
    <xf numFmtId="166" fontId="13" fillId="6" borderId="1" xfId="0" applyNumberFormat="1" applyFont="1" applyFill="1" applyBorder="1" applyAlignment="1">
      <alignment horizontal="right" vertical="center"/>
    </xf>
    <xf numFmtId="165" fontId="13" fillId="6" borderId="1" xfId="0" applyNumberFormat="1" applyFont="1" applyFill="1" applyBorder="1" applyAlignment="1">
      <alignment horizontal="right" vertical="center"/>
    </xf>
    <xf numFmtId="166" fontId="4" fillId="7" borderId="1" xfId="0" applyNumberFormat="1" applyFont="1" applyFill="1" applyBorder="1" applyAlignment="1">
      <alignment horizontal="right" vertical="center"/>
    </xf>
    <xf numFmtId="167" fontId="4" fillId="7" borderId="1" xfId="0" applyNumberFormat="1" applyFont="1" applyFill="1" applyBorder="1" applyAlignment="1">
      <alignment horizontal="right" vertical="center"/>
    </xf>
    <xf numFmtId="166" fontId="14" fillId="7" borderId="1" xfId="0" applyNumberFormat="1" applyFont="1" applyFill="1" applyBorder="1" applyAlignment="1">
      <alignment horizontal="right" vertical="center"/>
    </xf>
    <xf numFmtId="167" fontId="14" fillId="7" borderId="1" xfId="0" applyNumberFormat="1" applyFont="1" applyFill="1" applyBorder="1" applyAlignment="1">
      <alignment horizontal="right" vertical="center"/>
    </xf>
    <xf numFmtId="0" fontId="17" fillId="6" borderId="1" xfId="0" applyFont="1" applyFill="1" applyBorder="1" applyAlignment="1">
      <alignment horizontal="center" vertical="center" wrapText="1"/>
    </xf>
    <xf numFmtId="0" fontId="18" fillId="0" borderId="1" xfId="0" applyFont="1" applyBorder="1" applyAlignment="1">
      <alignment horizontal="center" vertical="center" wrapText="1"/>
    </xf>
    <xf numFmtId="9" fontId="18" fillId="7" borderId="1" xfId="0" applyNumberFormat="1" applyFont="1" applyFill="1" applyBorder="1" applyAlignment="1">
      <alignment horizontal="right" vertical="center"/>
    </xf>
    <xf numFmtId="165" fontId="16" fillId="7" borderId="1" xfId="0" applyNumberFormat="1" applyFont="1" applyFill="1" applyBorder="1" applyAlignment="1">
      <alignment horizontal="right" vertical="center"/>
    </xf>
    <xf numFmtId="168" fontId="4" fillId="7" borderId="1" xfId="0" applyNumberFormat="1" applyFont="1" applyFill="1" applyBorder="1" applyAlignment="1">
      <alignment horizontal="right" vertical="center"/>
    </xf>
    <xf numFmtId="0" fontId="4" fillId="0" borderId="1" xfId="0" applyFont="1" applyBorder="1" applyAlignment="1">
      <alignment horizontal="center" vertical="center" wrapText="1"/>
    </xf>
    <xf numFmtId="2" fontId="16" fillId="7" borderId="1" xfId="0" applyNumberFormat="1" applyFont="1" applyFill="1" applyBorder="1" applyAlignment="1">
      <alignment horizontal="righ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66666"/>
      <rgbColor rgb="FF800080"/>
      <rgbColor rgb="FF0E7C7B"/>
      <rgbColor rgb="FFD9D9D9"/>
      <rgbColor rgb="FF878787"/>
      <rgbColor rgb="FF8064A2"/>
      <rgbColor rgb="FFBE4B48"/>
      <rgbColor rgb="FFFFF6D6"/>
      <rgbColor rgb="FFEEF2F9"/>
      <rgbColor rgb="FF660066"/>
      <rgbColor rgb="FFFF8080"/>
      <rgbColor rgb="FF2E5AAC"/>
      <rgbColor rgb="FFC7D0DE"/>
      <rgbColor rgb="FF000080"/>
      <rgbColor rgb="FFFF00FF"/>
      <rgbColor rgb="FFFFFF00"/>
      <rgbColor rgb="FF00FFFF"/>
      <rgbColor rgb="FF800080"/>
      <rgbColor rgb="FF800000"/>
      <rgbColor rgb="FF4F81BD"/>
      <rgbColor rgb="FF0000FF"/>
      <rgbColor rgb="FF00CCFF"/>
      <rgbColor rgb="FFF4F7FB"/>
      <rgbColor rgb="FFCCFFCC"/>
      <rgbColor rgb="FFFFFF99"/>
      <rgbColor rgb="FF99CCFF"/>
      <rgbColor rgb="FFFF99CC"/>
      <rgbColor rgb="FFCC99FF"/>
      <rgbColor rgb="FFFFCC99"/>
      <rgbColor rgb="FF4A7EBB"/>
      <rgbColor rgb="FF46AAC4"/>
      <rgbColor rgb="FF98B855"/>
      <rgbColor rgb="FFFFCC00"/>
      <rgbColor rgb="FFFF9900"/>
      <rgbColor rgb="FFFF6600"/>
      <rgbColor rgb="FF7D5FA0"/>
      <rgbColor rgb="FF9BBB59"/>
      <rgbColor rgb="FF12203A"/>
      <rgbColor rgb="FF1E8E3E"/>
      <rgbColor rgb="FF003300"/>
      <rgbColor rgb="FF1A1A1A"/>
      <rgbColor rgb="FF993300"/>
      <rgbColor rgb="FFC0504D"/>
      <rgbColor rgb="FF333399"/>
      <rgbColor rgb="FF1F2A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RICE score by feature</a:t>
            </a:r>
          </a:p>
        </c:rich>
      </c:tx>
      <c:overlay val="0"/>
      <c:spPr>
        <a:noFill/>
        <a:ln w="0">
          <a:noFill/>
        </a:ln>
      </c:spPr>
    </c:title>
    <c:autoTitleDeleted val="0"/>
    <c:plotArea>
      <c:layout/>
      <c:barChart>
        <c:barDir val="bar"/>
        <c:grouping val="clustered"/>
        <c:varyColors val="0"/>
        <c:ser>
          <c:idx val="0"/>
          <c:order val="0"/>
          <c:tx>
            <c:strRef>
              <c:f>RICE!$F$8</c:f>
              <c:strCache>
                <c:ptCount val="1"/>
                <c:pt idx="0">
                  <c:v>RICE Score</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ext>
            </c:extLst>
          </c:dLbls>
          <c:cat>
            <c:strRef>
              <c:f>RICE!$A$9:$A$16</c:f>
              <c:strCache>
                <c:ptCount val="8"/>
                <c:pt idx="0">
                  <c:v>1-tap reorder</c:v>
                </c:pt>
                <c:pt idx="1">
                  <c:v>UPI autopay</c:v>
                </c:pt>
                <c:pt idx="2">
                  <c:v>Hindi voice search</c:v>
                </c:pt>
                <c:pt idx="3">
                  <c:v>Loyalty coins</c:v>
                </c:pt>
                <c:pt idx="4">
                  <c:v>Group ordering</c:v>
                </c:pt>
                <c:pt idx="5">
                  <c:v>Live order tracking</c:v>
                </c:pt>
                <c:pt idx="6">
                  <c:v>Referral rewards</c:v>
                </c:pt>
                <c:pt idx="7">
                  <c:v>Dark mode</c:v>
                </c:pt>
              </c:strCache>
            </c:strRef>
          </c:cat>
          <c:val>
            <c:numRef>
              <c:f>RICE!$F$9:$F$16</c:f>
              <c:numCache>
                <c:formatCode>#,##0</c:formatCode>
                <c:ptCount val="8"/>
                <c:pt idx="0">
                  <c:v>37800</c:v>
                </c:pt>
                <c:pt idx="1">
                  <c:v>24000</c:v>
                </c:pt>
                <c:pt idx="2">
                  <c:v>2250</c:v>
                </c:pt>
                <c:pt idx="3">
                  <c:v>14666.666666666666</c:v>
                </c:pt>
                <c:pt idx="4">
                  <c:v>6159.9999999999991</c:v>
                </c:pt>
                <c:pt idx="5">
                  <c:v>54000</c:v>
                </c:pt>
                <c:pt idx="6">
                  <c:v>25600</c:v>
                </c:pt>
                <c:pt idx="7">
                  <c:v>17500</c:v>
                </c:pt>
              </c:numCache>
            </c:numRef>
          </c:val>
          <c:extLst>
            <c:ext xmlns:c16="http://schemas.microsoft.com/office/drawing/2014/chart" uri="{C3380CC4-5D6E-409C-BE32-E72D297353CC}">
              <c16:uniqueId val="{00000000-2858-4170-AFF7-E35B4ADD3D21}"/>
            </c:ext>
          </c:extLst>
        </c:ser>
        <c:dLbls>
          <c:showLegendKey val="0"/>
          <c:showVal val="0"/>
          <c:showCatName val="0"/>
          <c:showSerName val="0"/>
          <c:showPercent val="0"/>
          <c:showBubbleSize val="0"/>
        </c:dLbls>
        <c:gapWidth val="150"/>
        <c:axId val="37267801"/>
        <c:axId val="91948653"/>
      </c:barChart>
      <c:catAx>
        <c:axId val="37267801"/>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948653"/>
        <c:crosses val="autoZero"/>
        <c:auto val="1"/>
        <c:lblAlgn val="ctr"/>
        <c:lblOffset val="100"/>
        <c:noMultiLvlLbl val="0"/>
      </c:catAx>
      <c:valAx>
        <c:axId val="91948653"/>
        <c:scaling>
          <c:orientation val="minMax"/>
        </c:scaling>
        <c:delete val="0"/>
        <c:axPos val="b"/>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726780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Weighted total by option</a:t>
            </a:r>
          </a:p>
        </c:rich>
      </c:tx>
      <c:overlay val="0"/>
      <c:spPr>
        <a:noFill/>
        <a:ln w="0">
          <a:noFill/>
        </a:ln>
      </c:spPr>
    </c:title>
    <c:autoTitleDeleted val="0"/>
    <c:plotArea>
      <c:layout/>
      <c:barChart>
        <c:barDir val="col"/>
        <c:grouping val="clustered"/>
        <c:varyColors val="0"/>
        <c:ser>
          <c:idx val="0"/>
          <c:order val="0"/>
          <c:tx>
            <c:strRef>
              <c:f>'Weighted Scoring'!$G$9</c:f>
              <c:strCache>
                <c:ptCount val="1"/>
                <c:pt idx="0">
                  <c:v>Weighted total</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ext>
            </c:extLst>
          </c:dLbls>
          <c:cat>
            <c:strRef>
              <c:f>'Weighted Scoring'!$A$10:$A$13</c:f>
              <c:strCache>
                <c:ptCount val="4"/>
                <c:pt idx="0">
                  <c:v>Tier-2 metros</c:v>
                </c:pt>
                <c:pt idx="1">
                  <c:v>Tier-3 towns</c:v>
                </c:pt>
                <c:pt idx="2">
                  <c:v>Premium urban</c:v>
                </c:pt>
                <c:pt idx="3">
                  <c:v>SMB / kirana</c:v>
                </c:pt>
              </c:strCache>
            </c:strRef>
          </c:cat>
          <c:val>
            <c:numRef>
              <c:f>'Weighted Scoring'!$G$10:$G$13</c:f>
              <c:numCache>
                <c:formatCode>0.00</c:formatCode>
                <c:ptCount val="4"/>
                <c:pt idx="0">
                  <c:v>3.95</c:v>
                </c:pt>
                <c:pt idx="1">
                  <c:v>3.65</c:v>
                </c:pt>
                <c:pt idx="2">
                  <c:v>3.5</c:v>
                </c:pt>
                <c:pt idx="3">
                  <c:v>4.1999999999999993</c:v>
                </c:pt>
              </c:numCache>
            </c:numRef>
          </c:val>
          <c:extLst>
            <c:ext xmlns:c16="http://schemas.microsoft.com/office/drawing/2014/chart" uri="{C3380CC4-5D6E-409C-BE32-E72D297353CC}">
              <c16:uniqueId val="{00000000-E8C3-43D3-95B0-56C681788D70}"/>
            </c:ext>
          </c:extLst>
        </c:ser>
        <c:dLbls>
          <c:showLegendKey val="0"/>
          <c:showVal val="0"/>
          <c:showCatName val="0"/>
          <c:showSerName val="0"/>
          <c:showPercent val="0"/>
          <c:showBubbleSize val="0"/>
        </c:dLbls>
        <c:gapWidth val="150"/>
        <c:axId val="94090426"/>
        <c:axId val="5683288"/>
      </c:barChart>
      <c:catAx>
        <c:axId val="9409042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683288"/>
        <c:crosses val="autoZero"/>
        <c:auto val="1"/>
        <c:lblAlgn val="ctr"/>
        <c:lblOffset val="100"/>
        <c:noMultiLvlLbl val="0"/>
      </c:catAx>
      <c:valAx>
        <c:axId val="5683288"/>
        <c:scaling>
          <c:orientation val="minMax"/>
        </c:scaling>
        <c:delete val="0"/>
        <c:axPos val="l"/>
        <c:majorGridlines>
          <c:spPr>
            <a:ln w="9360">
              <a:solidFill>
                <a:srgbClr val="878787"/>
              </a:solidFill>
              <a:round/>
            </a:ln>
          </c:spPr>
        </c:majorGridlines>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409042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Value (Y) vs Effort (X)</a:t>
            </a:r>
          </a:p>
        </c:rich>
      </c:tx>
      <c:overlay val="0"/>
      <c:spPr>
        <a:noFill/>
        <a:ln w="0">
          <a:noFill/>
        </a:ln>
      </c:spPr>
    </c:title>
    <c:autoTitleDeleted val="0"/>
    <c:plotArea>
      <c:layout/>
      <c:scatterChart>
        <c:scatterStyle val="lineMarker"/>
        <c:varyColors val="0"/>
        <c:ser>
          <c:idx val="0"/>
          <c:order val="0"/>
          <c:tx>
            <c:v>Items</c:v>
          </c:tx>
          <c:spPr>
            <a:ln w="28440">
              <a:noFill/>
            </a:ln>
          </c:spPr>
          <c:marker>
            <c:symbol val="circle"/>
            <c:size val="9"/>
            <c:spPr>
              <a:noFill/>
            </c:spPr>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'Value vs Effort'!$C$9:$C$16</c:f>
              <c:numCache>
                <c:formatCode>0</c:formatCode>
                <c:ptCount val="8"/>
                <c:pt idx="0">
                  <c:v>3</c:v>
                </c:pt>
                <c:pt idx="1">
                  <c:v>6</c:v>
                </c:pt>
                <c:pt idx="2">
                  <c:v>7</c:v>
                </c:pt>
                <c:pt idx="3">
                  <c:v>2</c:v>
                </c:pt>
                <c:pt idx="4">
                  <c:v>8</c:v>
                </c:pt>
                <c:pt idx="5">
                  <c:v>3</c:v>
                </c:pt>
                <c:pt idx="6">
                  <c:v>4</c:v>
                </c:pt>
                <c:pt idx="7">
                  <c:v>9</c:v>
                </c:pt>
              </c:numCache>
            </c:numRef>
          </c:xVal>
          <c:yVal>
            <c:numRef>
              <c:f>'Value vs Effort'!$B$9:$B$16</c:f>
              <c:numCache>
                <c:formatCode>0</c:formatCode>
                <c:ptCount val="8"/>
                <c:pt idx="0">
                  <c:v>9</c:v>
                </c:pt>
                <c:pt idx="1">
                  <c:v>8</c:v>
                </c:pt>
                <c:pt idx="2">
                  <c:v>4</c:v>
                </c:pt>
                <c:pt idx="3">
                  <c:v>3</c:v>
                </c:pt>
                <c:pt idx="4">
                  <c:v>6</c:v>
                </c:pt>
                <c:pt idx="5">
                  <c:v>7</c:v>
                </c:pt>
                <c:pt idx="6">
                  <c:v>6</c:v>
                </c:pt>
                <c:pt idx="7">
                  <c:v>8</c:v>
                </c:pt>
              </c:numCache>
            </c:numRef>
          </c:yVal>
          <c:smooth val="1"/>
          <c:extLst>
            <c:ext xmlns:c16="http://schemas.microsoft.com/office/drawing/2014/chart" uri="{C3380CC4-5D6E-409C-BE32-E72D297353CC}">
              <c16:uniqueId val="{00000000-4290-42EC-8AD9-E389D3C8481F}"/>
            </c:ext>
          </c:extLst>
        </c:ser>
        <c:dLbls>
          <c:showLegendKey val="0"/>
          <c:showVal val="0"/>
          <c:showCatName val="0"/>
          <c:showSerName val="0"/>
          <c:showPercent val="0"/>
          <c:showBubbleSize val="0"/>
        </c:dLbls>
        <c:axId val="56502377"/>
        <c:axId val="12060557"/>
      </c:scatterChart>
      <c:valAx>
        <c:axId val="56502377"/>
        <c:scaling>
          <c:orientation val="minMax"/>
          <c:max val="10"/>
          <c:min val="0"/>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Effort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2060557"/>
        <c:crosses val="autoZero"/>
        <c:crossBetween val="midCat"/>
      </c:valAx>
      <c:valAx>
        <c:axId val="12060557"/>
        <c:scaling>
          <c:orientation val="minMax"/>
          <c:max val="10"/>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Value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6502377"/>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Kano map — Better (Y) vs |Worse| (X)</a:t>
            </a:r>
          </a:p>
        </c:rich>
      </c:tx>
      <c:overlay val="0"/>
      <c:spPr>
        <a:noFill/>
        <a:ln w="0">
          <a:noFill/>
        </a:ln>
      </c:spPr>
    </c:title>
    <c:autoTitleDeleted val="0"/>
    <c:plotArea>
      <c:layout/>
      <c:scatterChart>
        <c:scatterStyle val="lineMarker"/>
        <c:varyColors val="0"/>
        <c:ser>
          <c:idx val="0"/>
          <c:order val="0"/>
          <c:tx>
            <c:v>Features</c:v>
          </c:tx>
          <c:spPr>
            <a:ln w="28440">
              <a:noFill/>
            </a:ln>
          </c:spPr>
          <c:marker>
            <c:symbol val="diamond"/>
            <c:size val="9"/>
            <c:spPr>
              <a:noFill/>
            </c:spPr>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'Kano Model'!$K$9:$K$14</c:f>
              <c:numCache>
                <c:formatCode>0.00</c:formatCode>
                <c:ptCount val="6"/>
                <c:pt idx="0">
                  <c:v>0.65</c:v>
                </c:pt>
                <c:pt idx="1">
                  <c:v>0.8</c:v>
                </c:pt>
                <c:pt idx="2">
                  <c:v>0.25</c:v>
                </c:pt>
                <c:pt idx="3">
                  <c:v>0.3</c:v>
                </c:pt>
                <c:pt idx="4">
                  <c:v>0.15</c:v>
                </c:pt>
                <c:pt idx="5">
                  <c:v>0.9</c:v>
                </c:pt>
              </c:numCache>
            </c:numRef>
          </c:xVal>
          <c:yVal>
            <c:numRef>
              <c:f>'Kano Model'!$L$9:$L$14</c:f>
              <c:numCache>
                <c:formatCode>0.00</c:formatCode>
                <c:ptCount val="6"/>
                <c:pt idx="0">
                  <c:v>0.75</c:v>
                </c:pt>
                <c:pt idx="1">
                  <c:v>0.55000000000000004</c:v>
                </c:pt>
                <c:pt idx="2">
                  <c:v>0.7</c:v>
                </c:pt>
                <c:pt idx="3">
                  <c:v>0.8</c:v>
                </c:pt>
                <c:pt idx="4">
                  <c:v>0.3</c:v>
                </c:pt>
                <c:pt idx="5">
                  <c:v>0.4</c:v>
                </c:pt>
              </c:numCache>
            </c:numRef>
          </c:yVal>
          <c:smooth val="1"/>
          <c:extLst>
            <c:ext xmlns:c16="http://schemas.microsoft.com/office/drawing/2014/chart" uri="{C3380CC4-5D6E-409C-BE32-E72D297353CC}">
              <c16:uniqueId val="{00000000-A832-4ABD-8AFB-4587688B2072}"/>
            </c:ext>
          </c:extLst>
        </c:ser>
        <c:dLbls>
          <c:showLegendKey val="0"/>
          <c:showVal val="0"/>
          <c:showCatName val="0"/>
          <c:showSerName val="0"/>
          <c:showPercent val="0"/>
          <c:showBubbleSize val="0"/>
        </c:dLbls>
        <c:axId val="35096796"/>
        <c:axId val="36845702"/>
      </c:scatterChart>
      <c:valAx>
        <c:axId val="35096796"/>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Dissatisfaction if absent →</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6845702"/>
        <c:crosses val="autoZero"/>
        <c:crossBetween val="midCat"/>
      </c:valAx>
      <c:valAx>
        <c:axId val="3684570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Satisfaction if present →</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5096796"/>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WSJF by feature</a:t>
            </a:r>
          </a:p>
        </c:rich>
      </c:tx>
      <c:overlay val="0"/>
      <c:spPr>
        <a:noFill/>
        <a:ln w="0">
          <a:noFill/>
        </a:ln>
      </c:spPr>
    </c:title>
    <c:autoTitleDeleted val="0"/>
    <c:plotArea>
      <c:layout/>
      <c:barChart>
        <c:barDir val="bar"/>
        <c:grouping val="clustered"/>
        <c:varyColors val="0"/>
        <c:ser>
          <c:idx val="0"/>
          <c:order val="0"/>
          <c:tx>
            <c:strRef>
              <c:f>WSJF!$G$8</c:f>
              <c:strCache>
                <c:ptCount val="1"/>
                <c:pt idx="0">
                  <c:v>WSJF</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ext>
            </c:extLst>
          </c:dLbls>
          <c:cat>
            <c:strRef>
              <c:f>WSJF!$A$9:$A$14</c:f>
              <c:strCache>
                <c:ptCount val="6"/>
                <c:pt idx="0">
                  <c:v>Live tracking</c:v>
                </c:pt>
                <c:pt idx="1">
                  <c:v>UPI autopay</c:v>
                </c:pt>
                <c:pt idx="2">
                  <c:v>Voice search</c:v>
                </c:pt>
                <c:pt idx="3">
                  <c:v>Loyalty coins</c:v>
                </c:pt>
                <c:pt idx="4">
                  <c:v>Group ordering</c:v>
                </c:pt>
                <c:pt idx="5">
                  <c:v>Referral rewards</c:v>
                </c:pt>
              </c:strCache>
            </c:strRef>
          </c:cat>
          <c:val>
            <c:numRef>
              <c:f>WSJF!$G$9:$G$14</c:f>
              <c:numCache>
                <c:formatCode>0.00</c:formatCode>
                <c:ptCount val="6"/>
                <c:pt idx="0">
                  <c:v>6.666666666666667</c:v>
                </c:pt>
                <c:pt idx="1">
                  <c:v>4.5999999999999996</c:v>
                </c:pt>
                <c:pt idx="2">
                  <c:v>2.75</c:v>
                </c:pt>
                <c:pt idx="3">
                  <c:v>5.333333333333333</c:v>
                </c:pt>
                <c:pt idx="4">
                  <c:v>2.5</c:v>
                </c:pt>
                <c:pt idx="5">
                  <c:v>9.5</c:v>
                </c:pt>
              </c:numCache>
            </c:numRef>
          </c:val>
          <c:extLst>
            <c:ext xmlns:c16="http://schemas.microsoft.com/office/drawing/2014/chart" uri="{C3380CC4-5D6E-409C-BE32-E72D297353CC}">
              <c16:uniqueId val="{00000000-0234-452B-A1B3-88F9EB246066}"/>
            </c:ext>
          </c:extLst>
        </c:ser>
        <c:dLbls>
          <c:showLegendKey val="0"/>
          <c:showVal val="0"/>
          <c:showCatName val="0"/>
          <c:showSerName val="0"/>
          <c:showPercent val="0"/>
          <c:showBubbleSize val="0"/>
        </c:dLbls>
        <c:gapWidth val="150"/>
        <c:axId val="2073399"/>
        <c:axId val="55861126"/>
      </c:barChart>
      <c:catAx>
        <c:axId val="2073399"/>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861126"/>
        <c:crosses val="autoZero"/>
        <c:auto val="1"/>
        <c:lblAlgn val="ctr"/>
        <c:lblOffset val="100"/>
        <c:noMultiLvlLbl val="0"/>
      </c:catAx>
      <c:valAx>
        <c:axId val="55861126"/>
        <c:scaling>
          <c:orientation val="minMax"/>
        </c:scaling>
        <c:delete val="0"/>
        <c:axPos val="b"/>
        <c:majorGridlines>
          <c:spPr>
            <a:ln w="9360">
              <a:solidFill>
                <a:srgbClr val="878787"/>
              </a:solidFill>
              <a:round/>
            </a:ln>
          </c:spPr>
        </c:majorGridlines>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07339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Effort share by MoSCoW category</a:t>
            </a:r>
          </a:p>
        </c:rich>
      </c:tx>
      <c:overlay val="0"/>
      <c:spPr>
        <a:noFill/>
        <a:ln w="0">
          <a:noFill/>
        </a:ln>
      </c:spPr>
    </c:title>
    <c:autoTitleDeleted val="0"/>
    <c:plotArea>
      <c:layout/>
      <c:pieChart>
        <c:varyColors val="1"/>
        <c:ser>
          <c:idx val="0"/>
          <c:order val="0"/>
          <c:tx>
            <c:strRef>
              <c:f>MoSCoW!$G$8</c:f>
              <c:strCache>
                <c:ptCount val="1"/>
                <c:pt idx="0">
                  <c:v>Effort (days)</c:v>
                </c:pt>
              </c:strCache>
            </c:strRef>
          </c:tx>
          <c:spPr>
            <a:solidFill>
              <a:srgbClr val="4F81BD"/>
            </a:solidFill>
            <a:ln w="0">
              <a:noFill/>
            </a:ln>
          </c:spPr>
          <c:dPt>
            <c:idx val="0"/>
            <c:bubble3D val="0"/>
            <c:extLst>
              <c:ext xmlns:c16="http://schemas.microsoft.com/office/drawing/2014/chart" uri="{C3380CC4-5D6E-409C-BE32-E72D297353CC}">
                <c16:uniqueId val="{00000001-1B29-442C-B6C5-8684DA9397C4}"/>
              </c:ext>
            </c:extLst>
          </c:dPt>
          <c:dPt>
            <c:idx val="1"/>
            <c:bubble3D val="0"/>
            <c:spPr>
              <a:solidFill>
                <a:srgbClr val="C0504D"/>
              </a:solidFill>
              <a:ln w="0">
                <a:noFill/>
              </a:ln>
            </c:spPr>
            <c:extLst>
              <c:ext xmlns:c16="http://schemas.microsoft.com/office/drawing/2014/chart" uri="{C3380CC4-5D6E-409C-BE32-E72D297353CC}">
                <c16:uniqueId val="{00000003-1B29-442C-B6C5-8684DA9397C4}"/>
              </c:ext>
            </c:extLst>
          </c:dPt>
          <c:dPt>
            <c:idx val="2"/>
            <c:bubble3D val="0"/>
            <c:spPr>
              <a:solidFill>
                <a:srgbClr val="9BBB59"/>
              </a:solidFill>
              <a:ln w="0">
                <a:noFill/>
              </a:ln>
            </c:spPr>
            <c:extLst>
              <c:ext xmlns:c16="http://schemas.microsoft.com/office/drawing/2014/chart" uri="{C3380CC4-5D6E-409C-BE32-E72D297353CC}">
                <c16:uniqueId val="{00000005-1B29-442C-B6C5-8684DA9397C4}"/>
              </c:ext>
            </c:extLst>
          </c:dPt>
          <c:dPt>
            <c:idx val="3"/>
            <c:bubble3D val="0"/>
            <c:spPr>
              <a:solidFill>
                <a:srgbClr val="8064A2"/>
              </a:solidFill>
              <a:ln w="0">
                <a:noFill/>
              </a:ln>
            </c:spPr>
            <c:extLst>
              <c:ext xmlns:c16="http://schemas.microsoft.com/office/drawing/2014/chart" uri="{C3380CC4-5D6E-409C-BE32-E72D297353CC}">
                <c16:uniqueId val="{00000007-1B29-442C-B6C5-8684DA9397C4}"/>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1-1B29-442C-B6C5-8684DA9397C4}"/>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3-1B29-442C-B6C5-8684DA9397C4}"/>
                </c:ext>
              </c:extLst>
            </c:dLbl>
            <c:dLbl>
              <c:idx val="2"/>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5-1B29-442C-B6C5-8684DA9397C4}"/>
                </c:ext>
              </c:extLst>
            </c:dLbl>
            <c:dLbl>
              <c:idx val="3"/>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7-1B29-442C-B6C5-8684DA9397C4}"/>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MoSCoW!$E$9:$E$12</c:f>
              <c:strCache>
                <c:ptCount val="4"/>
                <c:pt idx="0">
                  <c:v>Must</c:v>
                </c:pt>
                <c:pt idx="1">
                  <c:v>Should</c:v>
                </c:pt>
                <c:pt idx="2">
                  <c:v>Could</c:v>
                </c:pt>
                <c:pt idx="3">
                  <c:v>Won't</c:v>
                </c:pt>
              </c:strCache>
            </c:strRef>
          </c:cat>
          <c:val>
            <c:numRef>
              <c:f>MoSCoW!$G$9:$G$12</c:f>
              <c:numCache>
                <c:formatCode>#,##0</c:formatCode>
                <c:ptCount val="4"/>
                <c:pt idx="0">
                  <c:v>15</c:v>
                </c:pt>
                <c:pt idx="1">
                  <c:v>11</c:v>
                </c:pt>
                <c:pt idx="2">
                  <c:v>6</c:v>
                </c:pt>
                <c:pt idx="3">
                  <c:v>8</c:v>
                </c:pt>
              </c:numCache>
            </c:numRef>
          </c:val>
          <c:extLst>
            <c:ext xmlns:c16="http://schemas.microsoft.com/office/drawing/2014/chart" uri="{C3380CC4-5D6E-409C-BE32-E72D297353CC}">
              <c16:uniqueId val="{00000008-1B29-442C-B6C5-8684DA9397C4}"/>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Opportunity score by outcome</a:t>
            </a:r>
          </a:p>
        </c:rich>
      </c:tx>
      <c:overlay val="0"/>
      <c:spPr>
        <a:noFill/>
        <a:ln w="0">
          <a:noFill/>
        </a:ln>
      </c:spPr>
    </c:title>
    <c:autoTitleDeleted val="0"/>
    <c:plotArea>
      <c:layout/>
      <c:barChart>
        <c:barDir val="bar"/>
        <c:grouping val="clustered"/>
        <c:varyColors val="0"/>
        <c:ser>
          <c:idx val="0"/>
          <c:order val="0"/>
          <c:tx>
            <c:strRef>
              <c:f>'Opportunity Scoring'!$D$8</c:f>
              <c:strCache>
                <c:ptCount val="1"/>
                <c:pt idx="0">
                  <c:v>Opportunity</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ext>
            </c:extLst>
          </c:dLbls>
          <c:cat>
            <c:strRef>
              <c:f>'Opportunity Scoring'!$A$9:$A$14</c:f>
              <c:strCache>
                <c:ptCount val="6"/>
                <c:pt idx="0">
                  <c:v>Get food fast when hungry</c:v>
                </c:pt>
                <c:pt idx="1">
                  <c:v>Trust the delivery ETA</c:v>
                </c:pt>
                <c:pt idx="2">
                  <c:v>Pay without friction</c:v>
                </c:pt>
                <c:pt idx="3">
                  <c:v>Discover new dishes I'll like</c:v>
                </c:pt>
                <c:pt idx="4">
                  <c:v>Reorder favourites easily</c:v>
                </c:pt>
                <c:pt idx="5">
                  <c:v>Resolve a wrong order</c:v>
                </c:pt>
              </c:strCache>
            </c:strRef>
          </c:cat>
          <c:val>
            <c:numRef>
              <c:f>'Opportunity Scoring'!$D$9:$D$14</c:f>
              <c:numCache>
                <c:formatCode>0.00</c:formatCode>
                <c:ptCount val="6"/>
                <c:pt idx="0">
                  <c:v>12</c:v>
                </c:pt>
                <c:pt idx="1">
                  <c:v>14</c:v>
                </c:pt>
                <c:pt idx="2">
                  <c:v>9</c:v>
                </c:pt>
                <c:pt idx="3">
                  <c:v>11</c:v>
                </c:pt>
                <c:pt idx="4">
                  <c:v>8</c:v>
                </c:pt>
                <c:pt idx="5">
                  <c:v>13</c:v>
                </c:pt>
              </c:numCache>
            </c:numRef>
          </c:val>
          <c:extLst>
            <c:ext xmlns:c16="http://schemas.microsoft.com/office/drawing/2014/chart" uri="{C3380CC4-5D6E-409C-BE32-E72D297353CC}">
              <c16:uniqueId val="{00000000-8A85-46E9-ABC7-93CD9E182B02}"/>
            </c:ext>
          </c:extLst>
        </c:ser>
        <c:dLbls>
          <c:showLegendKey val="0"/>
          <c:showVal val="0"/>
          <c:showCatName val="0"/>
          <c:showSerName val="0"/>
          <c:showPercent val="0"/>
          <c:showBubbleSize val="0"/>
        </c:dLbls>
        <c:gapWidth val="150"/>
        <c:axId val="11099883"/>
        <c:axId val="72022136"/>
      </c:barChart>
      <c:catAx>
        <c:axId val="11099883"/>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2022136"/>
        <c:crosses val="autoZero"/>
        <c:auto val="1"/>
        <c:lblAlgn val="ctr"/>
        <c:lblOffset val="100"/>
        <c:noMultiLvlLbl val="0"/>
      </c:catAx>
      <c:valAx>
        <c:axId val="72022136"/>
        <c:scaling>
          <c:orientation val="minMax"/>
        </c:scaling>
        <c:delete val="0"/>
        <c:axPos val="b"/>
        <c:majorGridlines>
          <c:spPr>
            <a:ln w="9360">
              <a:solidFill>
                <a:srgbClr val="878787"/>
              </a:solidFill>
              <a:round/>
            </a:ln>
          </c:spPr>
        </c:majorGridlines>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109988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BCG — Growth (Y) vs Relative Share (X), bubble = revenue</a:t>
            </a:r>
          </a:p>
        </c:rich>
      </c:tx>
      <c:overlay val="0"/>
      <c:spPr>
        <a:noFill/>
        <a:ln w="0">
          <a:noFill/>
        </a:ln>
      </c:spPr>
    </c:title>
    <c:autoTitleDeleted val="0"/>
    <c:plotArea>
      <c:layout/>
      <c:bubbleChart>
        <c:varyColors val="0"/>
        <c:ser>
          <c:idx val="0"/>
          <c:order val="0"/>
          <c:tx>
            <c:v>Products</c:v>
          </c:tx>
          <c:spPr>
            <a:solidFill>
              <a:srgbClr val="4F81BD"/>
            </a:solidFill>
            <a:ln w="0">
              <a:noFill/>
            </a:ln>
          </c:spPr>
          <c:invertIfNegative val="0"/>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pPr xmlns:c15="http://schemas.microsoft.com/office/drawing/2012/chart">
                  <a:prstGeom prst="rect">
                    <a:avLst/>
                  </a:prstGeom>
                </c15:spPr>
                <c15:showLeaderLines val="1"/>
              </c:ext>
            </c:extLst>
          </c:dLbls>
          <c:xVal>
            <c:numRef>
              <c:f>'BCG Matrix'!$C$9:$C$14</c:f>
              <c:numCache>
                <c:formatCode>0.00</c:formatCode>
                <c:ptCount val="6"/>
                <c:pt idx="0">
                  <c:v>1.4</c:v>
                </c:pt>
                <c:pt idx="1">
                  <c:v>0.6</c:v>
                </c:pt>
                <c:pt idx="2">
                  <c:v>1.6</c:v>
                </c:pt>
                <c:pt idx="3">
                  <c:v>0.5</c:v>
                </c:pt>
                <c:pt idx="4">
                  <c:v>1.2</c:v>
                </c:pt>
                <c:pt idx="5">
                  <c:v>0.7</c:v>
                </c:pt>
              </c:numCache>
            </c:numRef>
          </c:xVal>
          <c:yVal>
            <c:numRef>
              <c:f>'BCG Matrix'!$B$9:$B$14</c:f>
              <c:numCache>
                <c:formatCode>0%</c:formatCode>
                <c:ptCount val="6"/>
                <c:pt idx="0">
                  <c:v>0.18</c:v>
                </c:pt>
                <c:pt idx="1">
                  <c:v>0.35</c:v>
                </c:pt>
                <c:pt idx="2">
                  <c:v>0.05</c:v>
                </c:pt>
                <c:pt idx="3">
                  <c:v>0.28000000000000003</c:v>
                </c:pt>
                <c:pt idx="4">
                  <c:v>0.22</c:v>
                </c:pt>
                <c:pt idx="5">
                  <c:v>0.02</c:v>
                </c:pt>
              </c:numCache>
            </c:numRef>
          </c:yVal>
          <c:bubbleSize>
            <c:numRef>
              <c:f>'BCG Matrix'!$D$9:$D$14</c:f>
              <c:numCache>
                <c:formatCode>#,##0</c:formatCode>
                <c:ptCount val="6"/>
                <c:pt idx="0">
                  <c:v>220</c:v>
                </c:pt>
                <c:pt idx="1">
                  <c:v>80</c:v>
                </c:pt>
                <c:pt idx="2">
                  <c:v>140</c:v>
                </c:pt>
                <c:pt idx="3">
                  <c:v>35</c:v>
                </c:pt>
                <c:pt idx="4">
                  <c:v>60</c:v>
                </c:pt>
                <c:pt idx="5">
                  <c:v>12</c:v>
                </c:pt>
              </c:numCache>
            </c:numRef>
          </c:bubbleSize>
          <c:bubble3D val="0"/>
          <c:extLst>
            <c:ext xmlns:c16="http://schemas.microsoft.com/office/drawing/2014/chart" uri="{C3380CC4-5D6E-409C-BE32-E72D297353CC}">
              <c16:uniqueId val="{00000000-474F-4398-A7F3-6EB319D7120B}"/>
            </c:ext>
          </c:extLst>
        </c:ser>
        <c:dLbls>
          <c:showLegendKey val="0"/>
          <c:showVal val="0"/>
          <c:showCatName val="0"/>
          <c:showSerName val="0"/>
          <c:showPercent val="0"/>
          <c:showBubbleSize val="0"/>
        </c:dLbls>
        <c:bubbleScale val="100"/>
        <c:showNegBubbles val="1"/>
        <c:axId val="45432276"/>
        <c:axId val="70738510"/>
      </c:bubbleChart>
      <c:valAx>
        <c:axId val="45432276"/>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Relative market share →</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0738510"/>
        <c:crosses val="autoZero"/>
        <c:crossBetween val="midCat"/>
      </c:valAx>
      <c:valAx>
        <c:axId val="7073851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Market growth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5432276"/>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Risk-adjusted value by initiative</a:t>
            </a:r>
          </a:p>
        </c:rich>
      </c:tx>
      <c:overlay val="0"/>
      <c:spPr>
        <a:noFill/>
        <a:ln w="0">
          <a:noFill/>
        </a:ln>
      </c:spPr>
    </c:title>
    <c:autoTitleDeleted val="0"/>
    <c:plotArea>
      <c:layout/>
      <c:barChart>
        <c:barDir val="bar"/>
        <c:grouping val="clustered"/>
        <c:varyColors val="0"/>
        <c:ser>
          <c:idx val="0"/>
          <c:order val="0"/>
          <c:tx>
            <c:strRef>
              <c:f>'Ansoff Matrix'!$E$8</c:f>
              <c:strCache>
                <c:ptCount val="1"/>
                <c:pt idx="0">
                  <c:v>Risk-adjusted value</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ext>
            </c:extLst>
          </c:dLbls>
          <c:cat>
            <c:strRef>
              <c:f>'Ansoff Matrix'!$A$9:$A$12</c:f>
              <c:strCache>
                <c:ptCount val="4"/>
                <c:pt idx="0">
                  <c:v>Push reorders to existing users</c:v>
                </c:pt>
                <c:pt idx="1">
                  <c:v>Launch grocery to same users</c:v>
                </c:pt>
                <c:pt idx="2">
                  <c:v>Enter Tier-3 towns</c:v>
                </c:pt>
                <c:pt idx="3">
                  <c:v>Fintech lending, new users</c:v>
                </c:pt>
              </c:strCache>
            </c:strRef>
          </c:cat>
          <c:val>
            <c:numRef>
              <c:f>'Ansoff Matrix'!$E$9:$E$12</c:f>
              <c:numCache>
                <c:formatCode>#,##0</c:formatCode>
                <c:ptCount val="4"/>
                <c:pt idx="0">
                  <c:v>34</c:v>
                </c:pt>
                <c:pt idx="1">
                  <c:v>38.5</c:v>
                </c:pt>
                <c:pt idx="2">
                  <c:v>40.5</c:v>
                </c:pt>
                <c:pt idx="3">
                  <c:v>37.5</c:v>
                </c:pt>
              </c:numCache>
            </c:numRef>
          </c:val>
          <c:extLst>
            <c:ext xmlns:c16="http://schemas.microsoft.com/office/drawing/2014/chart" uri="{C3380CC4-5D6E-409C-BE32-E72D297353CC}">
              <c16:uniqueId val="{00000000-3071-448A-993D-A5A8B818F9B3}"/>
            </c:ext>
          </c:extLst>
        </c:ser>
        <c:dLbls>
          <c:showLegendKey val="0"/>
          <c:showVal val="0"/>
          <c:showCatName val="0"/>
          <c:showSerName val="0"/>
          <c:showPercent val="0"/>
          <c:showBubbleSize val="0"/>
        </c:dLbls>
        <c:gapWidth val="150"/>
        <c:axId val="80328378"/>
        <c:axId val="21332043"/>
      </c:barChart>
      <c:catAx>
        <c:axId val="80328378"/>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1332043"/>
        <c:crosses val="autoZero"/>
        <c:auto val="1"/>
        <c:lblAlgn val="ctr"/>
        <c:lblOffset val="100"/>
        <c:noMultiLvlLbl val="0"/>
      </c:catAx>
      <c:valAx>
        <c:axId val="21332043"/>
        <c:scaling>
          <c:orientation val="minMax"/>
        </c:scaling>
        <c:delete val="0"/>
        <c:axPos val="b"/>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032837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Five Forces threat radar</a:t>
            </a:r>
          </a:p>
        </c:rich>
      </c:tx>
      <c:overlay val="0"/>
      <c:spPr>
        <a:noFill/>
        <a:ln w="0">
          <a:noFill/>
        </a:ln>
      </c:spPr>
    </c:title>
    <c:autoTitleDeleted val="0"/>
    <c:plotArea>
      <c:layout/>
      <c:radarChart>
        <c:radarStyle val="filled"/>
        <c:varyColors val="0"/>
        <c:ser>
          <c:idx val="0"/>
          <c:order val="0"/>
          <c:tx>
            <c:strRef>
              <c:f>'Porter 5 Forces'!$B$8</c:f>
              <c:strCache>
                <c:ptCount val="1"/>
                <c:pt idx="0">
                  <c:v>Threat (1–5)</c:v>
                </c:pt>
              </c:strCache>
            </c:strRef>
          </c:tx>
          <c:spPr>
            <a:solidFill>
              <a:srgbClr val="4F81BD"/>
            </a:solidFill>
            <a:ln w="0">
              <a:noFill/>
            </a:ln>
          </c:spPr>
          <c:dLbls>
            <c:spPr>
              <a:noFill/>
              <a:ln>
                <a:noFill/>
              </a:ln>
              <a:effectLst/>
            </c:spPr>
            <c:txPr>
              <a:bodyPr wrap="none"/>
              <a:lstStyle/>
              <a:p>
                <a:pPr>
                  <a:defRPr sz="1000" b="0" strike="noStrike" spc="-1">
                    <a:solidFill>
                      <a:srgbClr val="000000"/>
                    </a:solidFill>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'Porter 5 Forces'!$A$9:$A$13</c:f>
              <c:strCache>
                <c:ptCount val="5"/>
                <c:pt idx="0">
                  <c:v>Competitive rivalry</c:v>
                </c:pt>
                <c:pt idx="1">
                  <c:v>Threat of new entrants</c:v>
                </c:pt>
                <c:pt idx="2">
                  <c:v>Supplier power (restaurants)</c:v>
                </c:pt>
                <c:pt idx="3">
                  <c:v>Buyer power (users)</c:v>
                </c:pt>
                <c:pt idx="4">
                  <c:v>Threat of substitutes</c:v>
                </c:pt>
              </c:strCache>
            </c:strRef>
          </c:cat>
          <c:val>
            <c:numRef>
              <c:f>'Porter 5 Forces'!$B$9:$B$13</c:f>
              <c:numCache>
                <c:formatCode>0</c:formatCode>
                <c:ptCount val="5"/>
                <c:pt idx="0">
                  <c:v>4</c:v>
                </c:pt>
                <c:pt idx="1">
                  <c:v>3</c:v>
                </c:pt>
                <c:pt idx="2">
                  <c:v>4</c:v>
                </c:pt>
                <c:pt idx="3">
                  <c:v>4</c:v>
                </c:pt>
                <c:pt idx="4">
                  <c:v>2</c:v>
                </c:pt>
              </c:numCache>
            </c:numRef>
          </c:val>
          <c:extLst>
            <c:ext xmlns:c16="http://schemas.microsoft.com/office/drawing/2014/chart" uri="{C3380CC4-5D6E-409C-BE32-E72D297353CC}">
              <c16:uniqueId val="{00000000-3695-4924-986A-C51F8202AB3F}"/>
            </c:ext>
          </c:extLst>
        </c:ser>
        <c:dLbls>
          <c:showLegendKey val="0"/>
          <c:showVal val="0"/>
          <c:showCatName val="0"/>
          <c:showSerName val="0"/>
          <c:showPercent val="0"/>
          <c:showBubbleSize val="0"/>
        </c:dLbls>
        <c:axId val="56918531"/>
        <c:axId val="4375349"/>
      </c:radarChart>
      <c:catAx>
        <c:axId val="56918531"/>
        <c:scaling>
          <c:orientation val="minMax"/>
        </c:scaling>
        <c:delete val="0"/>
        <c:axPos val="b"/>
        <c:numFmt formatCode="General" sourceLinked="0"/>
        <c:majorTickMark val="none"/>
        <c:minorTickMark val="none"/>
        <c:tickLblPos val="nextTo"/>
        <c:spPr>
          <a:ln w="9360">
            <a:noFill/>
          </a:ln>
        </c:spPr>
        <c:txPr>
          <a:bodyPr/>
          <a:lstStyle/>
          <a:p>
            <a:pPr>
              <a:defRPr sz="1000" b="0" strike="noStrike" spc="-1">
                <a:solidFill>
                  <a:srgbClr val="000000"/>
                </a:solidFill>
                <a:latin typeface="Calibri"/>
              </a:defRPr>
            </a:pPr>
            <a:endParaRPr lang="en-US"/>
          </a:p>
        </c:txPr>
        <c:crossAx val="4375349"/>
        <c:crosses val="autoZero"/>
        <c:auto val="1"/>
        <c:lblAlgn val="ctr"/>
        <c:lblOffset val="100"/>
        <c:noMultiLvlLbl val="0"/>
      </c:catAx>
      <c:valAx>
        <c:axId val="4375349"/>
        <c:scaling>
          <c:orientation val="minMax"/>
          <c:max val="5"/>
          <c:min val="0"/>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6918531"/>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North Star: actual vs target</a:t>
            </a:r>
          </a:p>
        </c:rich>
      </c:tx>
      <c:overlay val="0"/>
      <c:spPr>
        <a:noFill/>
        <a:ln w="0">
          <a:noFill/>
        </a:ln>
      </c:spPr>
    </c:title>
    <c:autoTitleDeleted val="0"/>
    <c:plotArea>
      <c:layout/>
      <c:lineChart>
        <c:grouping val="standard"/>
        <c:varyColors val="0"/>
        <c:ser>
          <c:idx val="0"/>
          <c:order val="0"/>
          <c:tx>
            <c:strRef>
              <c:f>'North Star'!$B$17</c:f>
              <c:strCache>
                <c:ptCount val="1"/>
                <c:pt idx="0">
                  <c:v>NSM actual (mn)</c:v>
                </c:pt>
              </c:strCache>
            </c:strRef>
          </c:tx>
          <c:spPr>
            <a:ln w="28440">
              <a:solidFill>
                <a:srgbClr val="4A7EBB"/>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'North Star'!$A$18:$A$26</c:f>
              <c:strCache>
                <c:ptCount val="9"/>
                <c:pt idx="0">
                  <c:v>Jan</c:v>
                </c:pt>
                <c:pt idx="1">
                  <c:v>Feb</c:v>
                </c:pt>
                <c:pt idx="2">
                  <c:v>Mar</c:v>
                </c:pt>
                <c:pt idx="3">
                  <c:v>Apr</c:v>
                </c:pt>
                <c:pt idx="4">
                  <c:v>May</c:v>
                </c:pt>
                <c:pt idx="5">
                  <c:v>Jun</c:v>
                </c:pt>
                <c:pt idx="6">
                  <c:v>Jul</c:v>
                </c:pt>
                <c:pt idx="7">
                  <c:v>Aug</c:v>
                </c:pt>
                <c:pt idx="8">
                  <c:v>Sep</c:v>
                </c:pt>
              </c:strCache>
            </c:strRef>
          </c:cat>
          <c:val>
            <c:numRef>
              <c:f>'North Star'!$B$18:$B$26</c:f>
              <c:numCache>
                <c:formatCode>#,##0.0</c:formatCode>
                <c:ptCount val="9"/>
                <c:pt idx="0">
                  <c:v>2.9</c:v>
                </c:pt>
                <c:pt idx="1">
                  <c:v>3</c:v>
                </c:pt>
                <c:pt idx="2">
                  <c:v>3.15</c:v>
                </c:pt>
                <c:pt idx="3">
                  <c:v>3.3</c:v>
                </c:pt>
                <c:pt idx="4">
                  <c:v>3.4</c:v>
                </c:pt>
                <c:pt idx="5">
                  <c:v>3.55</c:v>
                </c:pt>
                <c:pt idx="6">
                  <c:v>3.7</c:v>
                </c:pt>
                <c:pt idx="7">
                  <c:v>3.8</c:v>
                </c:pt>
              </c:numCache>
            </c:numRef>
          </c:val>
          <c:smooth val="1"/>
          <c:extLst>
            <c:ext xmlns:c16="http://schemas.microsoft.com/office/drawing/2014/chart" uri="{C3380CC4-5D6E-409C-BE32-E72D297353CC}">
              <c16:uniqueId val="{00000000-B4B9-4651-BFB4-1341A4DC2C23}"/>
            </c:ext>
          </c:extLst>
        </c:ser>
        <c:ser>
          <c:idx val="1"/>
          <c:order val="1"/>
          <c:tx>
            <c:strRef>
              <c:f>'North Star'!$C$17</c:f>
              <c:strCache>
                <c:ptCount val="1"/>
                <c:pt idx="0">
                  <c:v>NSM target (mn)</c:v>
                </c:pt>
              </c:strCache>
            </c:strRef>
          </c:tx>
          <c:spPr>
            <a:ln w="28440">
              <a:solidFill>
                <a:srgbClr val="BE4B48"/>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'North Star'!$A$18:$A$26</c:f>
              <c:strCache>
                <c:ptCount val="9"/>
                <c:pt idx="0">
                  <c:v>Jan</c:v>
                </c:pt>
                <c:pt idx="1">
                  <c:v>Feb</c:v>
                </c:pt>
                <c:pt idx="2">
                  <c:v>Mar</c:v>
                </c:pt>
                <c:pt idx="3">
                  <c:v>Apr</c:v>
                </c:pt>
                <c:pt idx="4">
                  <c:v>May</c:v>
                </c:pt>
                <c:pt idx="5">
                  <c:v>Jun</c:v>
                </c:pt>
                <c:pt idx="6">
                  <c:v>Jul</c:v>
                </c:pt>
                <c:pt idx="7">
                  <c:v>Aug</c:v>
                </c:pt>
                <c:pt idx="8">
                  <c:v>Sep</c:v>
                </c:pt>
              </c:strCache>
            </c:strRef>
          </c:cat>
          <c:val>
            <c:numRef>
              <c:f>'North Star'!$C$18:$C$26</c:f>
              <c:numCache>
                <c:formatCode>#,##0.0</c:formatCode>
                <c:ptCount val="9"/>
                <c:pt idx="0">
                  <c:v>3</c:v>
                </c:pt>
                <c:pt idx="1">
                  <c:v>3.15</c:v>
                </c:pt>
                <c:pt idx="2">
                  <c:v>3.3</c:v>
                </c:pt>
                <c:pt idx="3">
                  <c:v>3.45</c:v>
                </c:pt>
                <c:pt idx="4">
                  <c:v>3.6</c:v>
                </c:pt>
                <c:pt idx="5">
                  <c:v>3.75</c:v>
                </c:pt>
                <c:pt idx="6">
                  <c:v>3.9</c:v>
                </c:pt>
                <c:pt idx="7">
                  <c:v>4.05</c:v>
                </c:pt>
                <c:pt idx="8">
                  <c:v>4.2</c:v>
                </c:pt>
              </c:numCache>
            </c:numRef>
          </c:val>
          <c:smooth val="1"/>
          <c:extLst>
            <c:ext xmlns:c16="http://schemas.microsoft.com/office/drawing/2014/chart" uri="{C3380CC4-5D6E-409C-BE32-E72D297353CC}">
              <c16:uniqueId val="{00000001-B4B9-4651-BFB4-1341A4DC2C23}"/>
            </c:ext>
          </c:extLst>
        </c:ser>
        <c:dLbls>
          <c:showLegendKey val="0"/>
          <c:showVal val="0"/>
          <c:showCatName val="0"/>
          <c:showSerName val="0"/>
          <c:showPercent val="0"/>
          <c:showBubbleSize val="0"/>
        </c:dLbls>
        <c:hiLowLines>
          <c:spPr>
            <a:ln w="0">
              <a:noFill/>
            </a:ln>
          </c:spPr>
        </c:hiLowLines>
        <c:smooth val="0"/>
        <c:axId val="42019528"/>
        <c:axId val="63309582"/>
      </c:lineChart>
      <c:catAx>
        <c:axId val="42019528"/>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Month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3309582"/>
        <c:crosses val="autoZero"/>
        <c:auto val="1"/>
        <c:lblAlgn val="ctr"/>
        <c:lblOffset val="100"/>
        <c:noMultiLvlLbl val="0"/>
      </c:catAx>
      <c:valAx>
        <c:axId val="6330958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NSM (mn)</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201952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Users by stage (funnel)</a:t>
            </a:r>
          </a:p>
        </c:rich>
      </c:tx>
      <c:overlay val="0"/>
      <c:spPr>
        <a:noFill/>
        <a:ln w="0">
          <a:noFill/>
        </a:ln>
      </c:spPr>
    </c:title>
    <c:autoTitleDeleted val="0"/>
    <c:plotArea>
      <c:layout/>
      <c:barChart>
        <c:barDir val="bar"/>
        <c:grouping val="clustered"/>
        <c:varyColors val="0"/>
        <c:ser>
          <c:idx val="0"/>
          <c:order val="0"/>
          <c:tx>
            <c:strRef>
              <c:f>'AARRR Funnel'!$B$8</c:f>
              <c:strCache>
                <c:ptCount val="1"/>
                <c:pt idx="0">
                  <c:v>Users</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ext>
            </c:extLst>
          </c:dLbls>
          <c:cat>
            <c:strRef>
              <c:f>'AARRR Funnel'!$A$9:$A$13</c:f>
              <c:strCache>
                <c:ptCount val="5"/>
                <c:pt idx="0">
                  <c:v>Acquisition</c:v>
                </c:pt>
                <c:pt idx="1">
                  <c:v>Activation</c:v>
                </c:pt>
                <c:pt idx="2">
                  <c:v>Retention</c:v>
                </c:pt>
                <c:pt idx="3">
                  <c:v>Revenue</c:v>
                </c:pt>
                <c:pt idx="4">
                  <c:v>Referral</c:v>
                </c:pt>
              </c:strCache>
            </c:strRef>
          </c:cat>
          <c:val>
            <c:numRef>
              <c:f>'AARRR Funnel'!$B$9:$B$13</c:f>
              <c:numCache>
                <c:formatCode>#,##0</c:formatCode>
                <c:ptCount val="5"/>
                <c:pt idx="0">
                  <c:v>100000</c:v>
                </c:pt>
                <c:pt idx="1">
                  <c:v>42000</c:v>
                </c:pt>
                <c:pt idx="2">
                  <c:v>23000</c:v>
                </c:pt>
                <c:pt idx="3">
                  <c:v>18000</c:v>
                </c:pt>
                <c:pt idx="4">
                  <c:v>5400</c:v>
                </c:pt>
              </c:numCache>
            </c:numRef>
          </c:val>
          <c:extLst>
            <c:ext xmlns:c16="http://schemas.microsoft.com/office/drawing/2014/chart" uri="{C3380CC4-5D6E-409C-BE32-E72D297353CC}">
              <c16:uniqueId val="{00000000-33B9-483F-B364-6BD0094D95FB}"/>
            </c:ext>
          </c:extLst>
        </c:ser>
        <c:dLbls>
          <c:showLegendKey val="0"/>
          <c:showVal val="0"/>
          <c:showCatName val="0"/>
          <c:showSerName val="0"/>
          <c:showPercent val="0"/>
          <c:showBubbleSize val="0"/>
        </c:dLbls>
        <c:gapWidth val="40"/>
        <c:axId val="67664328"/>
        <c:axId val="4338181"/>
      </c:barChart>
      <c:catAx>
        <c:axId val="67664328"/>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38181"/>
        <c:crosses val="autoZero"/>
        <c:auto val="1"/>
        <c:lblAlgn val="ctr"/>
        <c:lblOffset val="100"/>
        <c:noMultiLvlLbl val="0"/>
      </c:catAx>
      <c:valAx>
        <c:axId val="4338181"/>
        <c:scaling>
          <c:orientation val="minMax"/>
        </c:scaling>
        <c:delete val="0"/>
        <c:axPos val="b"/>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766432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Current vs Target</a:t>
            </a:r>
          </a:p>
        </c:rich>
      </c:tx>
      <c:overlay val="0"/>
      <c:spPr>
        <a:noFill/>
        <a:ln w="0">
          <a:noFill/>
        </a:ln>
      </c:spPr>
    </c:title>
    <c:autoTitleDeleted val="0"/>
    <c:plotArea>
      <c:layout/>
      <c:barChart>
        <c:barDir val="col"/>
        <c:grouping val="clustered"/>
        <c:varyColors val="0"/>
        <c:ser>
          <c:idx val="0"/>
          <c:order val="0"/>
          <c:tx>
            <c:strRef>
              <c:f>HEART!$C$8</c:f>
              <c:strCache>
                <c:ptCount val="1"/>
                <c:pt idx="0">
                  <c:v>Current</c:v>
                </c:pt>
              </c:strCache>
            </c:strRef>
          </c:tx>
          <c:spPr>
            <a:solidFill>
              <a:srgbClr val="4F81BD"/>
            </a:solidFill>
            <a:ln w="0">
              <a:noFill/>
            </a:ln>
          </c:spPr>
          <c:invertIfNegative val="0"/>
          <c:dLbls>
            <c:spPr>
              <a:noFill/>
              <a:ln>
                <a:noFill/>
              </a:ln>
              <a:effectLst/>
            </c:spPr>
            <c:txPr>
              <a:bodyPr wrap="non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HEART!$A$9:$A$13</c:f>
              <c:strCache>
                <c:ptCount val="5"/>
                <c:pt idx="0">
                  <c:v>Happiness</c:v>
                </c:pt>
                <c:pt idx="1">
                  <c:v>Engagement</c:v>
                </c:pt>
                <c:pt idx="2">
                  <c:v>Adoption</c:v>
                </c:pt>
                <c:pt idx="3">
                  <c:v>Retention</c:v>
                </c:pt>
                <c:pt idx="4">
                  <c:v>Task success</c:v>
                </c:pt>
              </c:strCache>
            </c:strRef>
          </c:cat>
          <c:val>
            <c:numRef>
              <c:f>HEART!$C$9:$C$13</c:f>
              <c:numCache>
                <c:formatCode>#,##0.0</c:formatCode>
                <c:ptCount val="5"/>
                <c:pt idx="0" formatCode="0%">
                  <c:v>0.72</c:v>
                </c:pt>
                <c:pt idx="1">
                  <c:v>1.1000000000000001</c:v>
                </c:pt>
                <c:pt idx="2" formatCode="0%">
                  <c:v>0.34</c:v>
                </c:pt>
                <c:pt idx="3" formatCode="0%">
                  <c:v>0.28000000000000003</c:v>
                </c:pt>
                <c:pt idx="4" formatCode="0%">
                  <c:v>0.88</c:v>
                </c:pt>
              </c:numCache>
            </c:numRef>
          </c:val>
          <c:extLst>
            <c:ext xmlns:c16="http://schemas.microsoft.com/office/drawing/2014/chart" uri="{C3380CC4-5D6E-409C-BE32-E72D297353CC}">
              <c16:uniqueId val="{00000000-E955-4427-8880-66ADBD13FEAA}"/>
            </c:ext>
          </c:extLst>
        </c:ser>
        <c:ser>
          <c:idx val="1"/>
          <c:order val="1"/>
          <c:tx>
            <c:strRef>
              <c:f>HEART!$D$8</c:f>
              <c:strCache>
                <c:ptCount val="1"/>
                <c:pt idx="0">
                  <c:v>Target</c:v>
                </c:pt>
              </c:strCache>
            </c:strRef>
          </c:tx>
          <c:spPr>
            <a:solidFill>
              <a:srgbClr val="C0504D"/>
            </a:solidFill>
            <a:ln w="0">
              <a:noFill/>
            </a:ln>
          </c:spPr>
          <c:invertIfNegative val="0"/>
          <c:dLbls>
            <c:spPr>
              <a:noFill/>
              <a:ln>
                <a:noFill/>
              </a:ln>
              <a:effectLst/>
            </c:spPr>
            <c:txPr>
              <a:bodyPr wrap="non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HEART!$A$9:$A$13</c:f>
              <c:strCache>
                <c:ptCount val="5"/>
                <c:pt idx="0">
                  <c:v>Happiness</c:v>
                </c:pt>
                <c:pt idx="1">
                  <c:v>Engagement</c:v>
                </c:pt>
                <c:pt idx="2">
                  <c:v>Adoption</c:v>
                </c:pt>
                <c:pt idx="3">
                  <c:v>Retention</c:v>
                </c:pt>
                <c:pt idx="4">
                  <c:v>Task success</c:v>
                </c:pt>
              </c:strCache>
            </c:strRef>
          </c:cat>
          <c:val>
            <c:numRef>
              <c:f>HEART!$D$9:$D$13</c:f>
              <c:numCache>
                <c:formatCode>#,##0.0</c:formatCode>
                <c:ptCount val="5"/>
                <c:pt idx="0" formatCode="0%">
                  <c:v>0.85</c:v>
                </c:pt>
                <c:pt idx="1">
                  <c:v>1.5</c:v>
                </c:pt>
                <c:pt idx="2" formatCode="0%">
                  <c:v>0.6</c:v>
                </c:pt>
                <c:pt idx="3" formatCode="0%">
                  <c:v>0.4</c:v>
                </c:pt>
                <c:pt idx="4" formatCode="0%">
                  <c:v>0.95</c:v>
                </c:pt>
              </c:numCache>
            </c:numRef>
          </c:val>
          <c:extLst>
            <c:ext xmlns:c16="http://schemas.microsoft.com/office/drawing/2014/chart" uri="{C3380CC4-5D6E-409C-BE32-E72D297353CC}">
              <c16:uniqueId val="{00000001-E955-4427-8880-66ADBD13FEAA}"/>
            </c:ext>
          </c:extLst>
        </c:ser>
        <c:dLbls>
          <c:showLegendKey val="0"/>
          <c:showVal val="0"/>
          <c:showCatName val="0"/>
          <c:showSerName val="0"/>
          <c:showPercent val="0"/>
          <c:showBubbleSize val="0"/>
        </c:dLbls>
        <c:gapWidth val="150"/>
        <c:axId val="40602100"/>
        <c:axId val="11750287"/>
      </c:barChart>
      <c:catAx>
        <c:axId val="4060210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1750287"/>
        <c:crosses val="autoZero"/>
        <c:auto val="1"/>
        <c:lblAlgn val="ctr"/>
        <c:lblOffset val="100"/>
        <c:noMultiLvlLbl val="0"/>
      </c:catAx>
      <c:valAx>
        <c:axId val="11750287"/>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060210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LTV vs monthly churn</a:t>
            </a:r>
          </a:p>
        </c:rich>
      </c:tx>
      <c:overlay val="0"/>
      <c:spPr>
        <a:noFill/>
        <a:ln w="0">
          <a:noFill/>
        </a:ln>
      </c:spPr>
    </c:title>
    <c:autoTitleDeleted val="0"/>
    <c:plotArea>
      <c:layout/>
      <c:lineChart>
        <c:grouping val="standard"/>
        <c:varyColors val="0"/>
        <c:ser>
          <c:idx val="0"/>
          <c:order val="0"/>
          <c:tx>
            <c:strRef>
              <c:f>'Unit Economics'!$E$9</c:f>
              <c:strCache>
                <c:ptCount val="1"/>
                <c:pt idx="0">
                  <c:v>LTV</c:v>
                </c:pt>
              </c:strCache>
            </c:strRef>
          </c:tx>
          <c:spPr>
            <a:ln w="28440">
              <a:solidFill>
                <a:srgbClr val="4A7EBB"/>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'Unit Economics'!$D$10:$D$13</c:f>
              <c:numCache>
                <c:formatCode>0.0%</c:formatCode>
                <c:ptCount val="4"/>
                <c:pt idx="0">
                  <c:v>0.03</c:v>
                </c:pt>
                <c:pt idx="1">
                  <c:v>0.05</c:v>
                </c:pt>
                <c:pt idx="2">
                  <c:v>7.0000000000000007E-2</c:v>
                </c:pt>
                <c:pt idx="3">
                  <c:v>0.1</c:v>
                </c:pt>
              </c:numCache>
            </c:numRef>
          </c:cat>
          <c:val>
            <c:numRef>
              <c:f>'Unit Economics'!$E$10:$E$13</c:f>
              <c:numCache>
                <c:formatCode>\₹#,##0</c:formatCode>
                <c:ptCount val="4"/>
                <c:pt idx="0">
                  <c:v>3000</c:v>
                </c:pt>
                <c:pt idx="1">
                  <c:v>1800</c:v>
                </c:pt>
                <c:pt idx="2">
                  <c:v>1285.7142857142856</c:v>
                </c:pt>
                <c:pt idx="3">
                  <c:v>900</c:v>
                </c:pt>
              </c:numCache>
            </c:numRef>
          </c:val>
          <c:smooth val="1"/>
          <c:extLst>
            <c:ext xmlns:c16="http://schemas.microsoft.com/office/drawing/2014/chart" uri="{C3380CC4-5D6E-409C-BE32-E72D297353CC}">
              <c16:uniqueId val="{00000000-778B-4A5E-B2D3-D38BD8EF6BE4}"/>
            </c:ext>
          </c:extLst>
        </c:ser>
        <c:dLbls>
          <c:showLegendKey val="0"/>
          <c:showVal val="0"/>
          <c:showCatName val="0"/>
          <c:showSerName val="0"/>
          <c:showPercent val="0"/>
          <c:showBubbleSize val="0"/>
        </c:dLbls>
        <c:hiLowLines>
          <c:spPr>
            <a:ln w="0">
              <a:noFill/>
            </a:ln>
          </c:spPr>
        </c:hiLowLines>
        <c:smooth val="0"/>
        <c:axId val="99021415"/>
        <c:axId val="96198601"/>
      </c:lineChart>
      <c:catAx>
        <c:axId val="99021415"/>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Monthly churn</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6198601"/>
        <c:crosses val="autoZero"/>
        <c:auto val="1"/>
        <c:lblAlgn val="ctr"/>
        <c:lblOffset val="100"/>
        <c:noMultiLvlLbl val="0"/>
      </c:catAx>
      <c:valAx>
        <c:axId val="9619860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LTV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02141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Retention curves by cohort</a:t>
            </a:r>
          </a:p>
        </c:rich>
      </c:tx>
      <c:overlay val="0"/>
      <c:spPr>
        <a:noFill/>
        <a:ln w="0">
          <a:noFill/>
        </a:ln>
      </c:spPr>
    </c:title>
    <c:autoTitleDeleted val="0"/>
    <c:plotArea>
      <c:layout/>
      <c:lineChart>
        <c:grouping val="standard"/>
        <c:varyColors val="0"/>
        <c:ser>
          <c:idx val="0"/>
          <c:order val="0"/>
          <c:tx>
            <c:v>Jan</c:v>
          </c:tx>
          <c:spPr>
            <a:ln w="28440">
              <a:solidFill>
                <a:srgbClr val="4A7EBB"/>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'Cohort Retention'!$B$16:$H$16</c:f>
              <c:strCache>
                <c:ptCount val="7"/>
                <c:pt idx="0">
                  <c:v>M0</c:v>
                </c:pt>
                <c:pt idx="1">
                  <c:v>M1</c:v>
                </c:pt>
                <c:pt idx="2">
                  <c:v>M2</c:v>
                </c:pt>
                <c:pt idx="3">
                  <c:v>M3</c:v>
                </c:pt>
                <c:pt idx="4">
                  <c:v>M4</c:v>
                </c:pt>
                <c:pt idx="5">
                  <c:v>M5</c:v>
                </c:pt>
                <c:pt idx="6">
                  <c:v>M6</c:v>
                </c:pt>
              </c:strCache>
            </c:strRef>
          </c:cat>
          <c:val>
            <c:numRef>
              <c:f>'Cohort Retention'!$B$17:$H$17</c:f>
              <c:numCache>
                <c:formatCode>0%</c:formatCode>
                <c:ptCount val="7"/>
                <c:pt idx="0">
                  <c:v>1</c:v>
                </c:pt>
                <c:pt idx="1">
                  <c:v>0.57999999999999996</c:v>
                </c:pt>
                <c:pt idx="2">
                  <c:v>0.42</c:v>
                </c:pt>
                <c:pt idx="3">
                  <c:v>0.35</c:v>
                </c:pt>
                <c:pt idx="4">
                  <c:v>0.31</c:v>
                </c:pt>
                <c:pt idx="5">
                  <c:v>0.28999999999999998</c:v>
                </c:pt>
                <c:pt idx="6">
                  <c:v>0.28000000000000003</c:v>
                </c:pt>
              </c:numCache>
            </c:numRef>
          </c:val>
          <c:smooth val="1"/>
          <c:extLst>
            <c:ext xmlns:c16="http://schemas.microsoft.com/office/drawing/2014/chart" uri="{C3380CC4-5D6E-409C-BE32-E72D297353CC}">
              <c16:uniqueId val="{00000000-80FB-48C9-A8AB-1384768795D8}"/>
            </c:ext>
          </c:extLst>
        </c:ser>
        <c:ser>
          <c:idx val="1"/>
          <c:order val="1"/>
          <c:tx>
            <c:v>Feb</c:v>
          </c:tx>
          <c:spPr>
            <a:ln w="28440">
              <a:solidFill>
                <a:srgbClr val="BE4B48"/>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'Cohort Retention'!$B$16:$H$16</c:f>
              <c:strCache>
                <c:ptCount val="7"/>
                <c:pt idx="0">
                  <c:v>M0</c:v>
                </c:pt>
                <c:pt idx="1">
                  <c:v>M1</c:v>
                </c:pt>
                <c:pt idx="2">
                  <c:v>M2</c:v>
                </c:pt>
                <c:pt idx="3">
                  <c:v>M3</c:v>
                </c:pt>
                <c:pt idx="4">
                  <c:v>M4</c:v>
                </c:pt>
                <c:pt idx="5">
                  <c:v>M5</c:v>
                </c:pt>
                <c:pt idx="6">
                  <c:v>M6</c:v>
                </c:pt>
              </c:strCache>
            </c:strRef>
          </c:cat>
          <c:val>
            <c:numRef>
              <c:f>'Cohort Retention'!$B$18:$H$18</c:f>
              <c:numCache>
                <c:formatCode>0%</c:formatCode>
                <c:ptCount val="7"/>
                <c:pt idx="0">
                  <c:v>1</c:v>
                </c:pt>
                <c:pt idx="1">
                  <c:v>0.6</c:v>
                </c:pt>
                <c:pt idx="2">
                  <c:v>0.45</c:v>
                </c:pt>
                <c:pt idx="3">
                  <c:v>0.38035714285714284</c:v>
                </c:pt>
                <c:pt idx="4">
                  <c:v>0.3392857142857143</c:v>
                </c:pt>
                <c:pt idx="5">
                  <c:v>0.32142857142857145</c:v>
                </c:pt>
                <c:pt idx="6">
                  <c:v>0.3125</c:v>
                </c:pt>
              </c:numCache>
            </c:numRef>
          </c:val>
          <c:smooth val="1"/>
          <c:extLst>
            <c:ext xmlns:c16="http://schemas.microsoft.com/office/drawing/2014/chart" uri="{C3380CC4-5D6E-409C-BE32-E72D297353CC}">
              <c16:uniqueId val="{00000001-80FB-48C9-A8AB-1384768795D8}"/>
            </c:ext>
          </c:extLst>
        </c:ser>
        <c:ser>
          <c:idx val="2"/>
          <c:order val="2"/>
          <c:tx>
            <c:v>Mar</c:v>
          </c:tx>
          <c:spPr>
            <a:ln w="28440">
              <a:solidFill>
                <a:srgbClr val="98B855"/>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'Cohort Retention'!$B$16:$H$16</c:f>
              <c:strCache>
                <c:ptCount val="7"/>
                <c:pt idx="0">
                  <c:v>M0</c:v>
                </c:pt>
                <c:pt idx="1">
                  <c:v>M1</c:v>
                </c:pt>
                <c:pt idx="2">
                  <c:v>M2</c:v>
                </c:pt>
                <c:pt idx="3">
                  <c:v>M3</c:v>
                </c:pt>
                <c:pt idx="4">
                  <c:v>M4</c:v>
                </c:pt>
                <c:pt idx="5">
                  <c:v>M5</c:v>
                </c:pt>
                <c:pt idx="6">
                  <c:v>M6</c:v>
                </c:pt>
              </c:strCache>
            </c:strRef>
          </c:cat>
          <c:val>
            <c:numRef>
              <c:f>'Cohort Retention'!$B$19:$H$19</c:f>
              <c:numCache>
                <c:formatCode>0%</c:formatCode>
                <c:ptCount val="7"/>
                <c:pt idx="0">
                  <c:v>1</c:v>
                </c:pt>
                <c:pt idx="1">
                  <c:v>0.63934426229508201</c:v>
                </c:pt>
                <c:pt idx="2">
                  <c:v>0.5</c:v>
                </c:pt>
                <c:pt idx="3">
                  <c:v>0.42950819672131146</c:v>
                </c:pt>
                <c:pt idx="4">
                  <c:v>0.39016393442622949</c:v>
                </c:pt>
                <c:pt idx="5">
                  <c:v>0.37049180327868853</c:v>
                </c:pt>
                <c:pt idx="6">
                  <c:v>0.36065573770491804</c:v>
                </c:pt>
              </c:numCache>
            </c:numRef>
          </c:val>
          <c:smooth val="1"/>
          <c:extLst>
            <c:ext xmlns:c16="http://schemas.microsoft.com/office/drawing/2014/chart" uri="{C3380CC4-5D6E-409C-BE32-E72D297353CC}">
              <c16:uniqueId val="{00000002-80FB-48C9-A8AB-1384768795D8}"/>
            </c:ext>
          </c:extLst>
        </c:ser>
        <c:ser>
          <c:idx val="3"/>
          <c:order val="3"/>
          <c:tx>
            <c:v>Apr</c:v>
          </c:tx>
          <c:spPr>
            <a:ln w="28440">
              <a:solidFill>
                <a:srgbClr val="7D5FA0"/>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'Cohort Retention'!$B$16:$H$16</c:f>
              <c:strCache>
                <c:ptCount val="7"/>
                <c:pt idx="0">
                  <c:v>M0</c:v>
                </c:pt>
                <c:pt idx="1">
                  <c:v>M1</c:v>
                </c:pt>
                <c:pt idx="2">
                  <c:v>M2</c:v>
                </c:pt>
                <c:pt idx="3">
                  <c:v>M3</c:v>
                </c:pt>
                <c:pt idx="4">
                  <c:v>M4</c:v>
                </c:pt>
                <c:pt idx="5">
                  <c:v>M5</c:v>
                </c:pt>
                <c:pt idx="6">
                  <c:v>M6</c:v>
                </c:pt>
              </c:strCache>
            </c:strRef>
          </c:cat>
          <c:val>
            <c:numRef>
              <c:f>'Cohort Retention'!$B$20:$H$20</c:f>
              <c:numCache>
                <c:formatCode>0%</c:formatCode>
                <c:ptCount val="7"/>
                <c:pt idx="0">
                  <c:v>1</c:v>
                </c:pt>
                <c:pt idx="1">
                  <c:v>0.66029411764705881</c:v>
                </c:pt>
                <c:pt idx="2">
                  <c:v>0.52941176470588236</c:v>
                </c:pt>
                <c:pt idx="3">
                  <c:v>0.4602941176470588</c:v>
                </c:pt>
                <c:pt idx="4">
                  <c:v>0.42058823529411765</c:v>
                </c:pt>
                <c:pt idx="5">
                  <c:v>0.4</c:v>
                </c:pt>
                <c:pt idx="6">
                  <c:v>0.38970588235294118</c:v>
                </c:pt>
              </c:numCache>
            </c:numRef>
          </c:val>
          <c:smooth val="1"/>
          <c:extLst>
            <c:ext xmlns:c16="http://schemas.microsoft.com/office/drawing/2014/chart" uri="{C3380CC4-5D6E-409C-BE32-E72D297353CC}">
              <c16:uniqueId val="{00000003-80FB-48C9-A8AB-1384768795D8}"/>
            </c:ext>
          </c:extLst>
        </c:ser>
        <c:ser>
          <c:idx val="4"/>
          <c:order val="4"/>
          <c:tx>
            <c:v>Average</c:v>
          </c:tx>
          <c:spPr>
            <a:ln w="28440">
              <a:solidFill>
                <a:srgbClr val="46AAC4"/>
              </a:solidFill>
              <a:round/>
            </a:ln>
          </c:spPr>
          <c:marker>
            <c:symbol val="none"/>
          </c:marker>
          <c:dLbls>
            <c:spPr>
              <a:noFill/>
              <a:ln>
                <a:noFill/>
              </a:ln>
              <a:effectLst/>
            </c:spPr>
            <c:txPr>
              <a:bodyPr wrap="non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'Cohort Retention'!$B$16:$H$16</c:f>
              <c:strCache>
                <c:ptCount val="7"/>
                <c:pt idx="0">
                  <c:v>M0</c:v>
                </c:pt>
                <c:pt idx="1">
                  <c:v>M1</c:v>
                </c:pt>
                <c:pt idx="2">
                  <c:v>M2</c:v>
                </c:pt>
                <c:pt idx="3">
                  <c:v>M3</c:v>
                </c:pt>
                <c:pt idx="4">
                  <c:v>M4</c:v>
                </c:pt>
                <c:pt idx="5">
                  <c:v>M5</c:v>
                </c:pt>
                <c:pt idx="6">
                  <c:v>M6</c:v>
                </c:pt>
              </c:strCache>
            </c:strRef>
          </c:cat>
          <c:val>
            <c:numRef>
              <c:f>'Cohort Retention'!$B$21:$H$21</c:f>
              <c:numCache>
                <c:formatCode>0%</c:formatCode>
                <c:ptCount val="7"/>
                <c:pt idx="0">
                  <c:v>1</c:v>
                </c:pt>
                <c:pt idx="1">
                  <c:v>0.61990959498553522</c:v>
                </c:pt>
                <c:pt idx="2">
                  <c:v>0.47485294117647059</c:v>
                </c:pt>
                <c:pt idx="3">
                  <c:v>0.40503986430637823</c:v>
                </c:pt>
                <c:pt idx="4">
                  <c:v>0.36500947100151537</c:v>
                </c:pt>
                <c:pt idx="5">
                  <c:v>0.34548009367681498</c:v>
                </c:pt>
                <c:pt idx="6">
                  <c:v>0.33571540501446478</c:v>
                </c:pt>
              </c:numCache>
            </c:numRef>
          </c:val>
          <c:smooth val="1"/>
          <c:extLst>
            <c:ext xmlns:c16="http://schemas.microsoft.com/office/drawing/2014/chart" uri="{C3380CC4-5D6E-409C-BE32-E72D297353CC}">
              <c16:uniqueId val="{00000004-80FB-48C9-A8AB-1384768795D8}"/>
            </c:ext>
          </c:extLst>
        </c:ser>
        <c:dLbls>
          <c:showLegendKey val="0"/>
          <c:showVal val="0"/>
          <c:showCatName val="0"/>
          <c:showSerName val="0"/>
          <c:showPercent val="0"/>
          <c:showBubbleSize val="0"/>
        </c:dLbls>
        <c:hiLowLines>
          <c:spPr>
            <a:ln w="0">
              <a:noFill/>
            </a:ln>
          </c:spPr>
        </c:hiLowLines>
        <c:smooth val="0"/>
        <c:axId val="58859662"/>
        <c:axId val="60868981"/>
      </c:lineChart>
      <c:catAx>
        <c:axId val="58859662"/>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Months since signup</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0868981"/>
        <c:crosses val="autoZero"/>
        <c:auto val="1"/>
        <c:lblAlgn val="ctr"/>
        <c:lblOffset val="100"/>
        <c:noMultiLvlLbl val="0"/>
      </c:catAx>
      <c:valAx>
        <c:axId val="60868981"/>
        <c:scaling>
          <c:orientation val="minMax"/>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Retention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885966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Response mix</a:t>
            </a:r>
          </a:p>
        </c:rich>
      </c:tx>
      <c:overlay val="0"/>
      <c:spPr>
        <a:noFill/>
        <a:ln w="0">
          <a:noFill/>
        </a:ln>
      </c:spPr>
    </c:title>
    <c:autoTitleDeleted val="0"/>
    <c:plotArea>
      <c:layout/>
      <c:pieChart>
        <c:varyColors val="1"/>
        <c:ser>
          <c:idx val="0"/>
          <c:order val="0"/>
          <c:tx>
            <c:strRef>
              <c:f>'PMF Survey'!$B$9</c:f>
              <c:strCache>
                <c:ptCount val="1"/>
                <c:pt idx="0">
                  <c:v>Count</c:v>
                </c:pt>
              </c:strCache>
            </c:strRef>
          </c:tx>
          <c:spPr>
            <a:solidFill>
              <a:srgbClr val="4F81BD"/>
            </a:solidFill>
            <a:ln w="0">
              <a:noFill/>
            </a:ln>
          </c:spPr>
          <c:dPt>
            <c:idx val="0"/>
            <c:bubble3D val="0"/>
            <c:extLst>
              <c:ext xmlns:c16="http://schemas.microsoft.com/office/drawing/2014/chart" uri="{C3380CC4-5D6E-409C-BE32-E72D297353CC}">
                <c16:uniqueId val="{00000001-78A9-4AB3-BE8C-F29713EC3AC9}"/>
              </c:ext>
            </c:extLst>
          </c:dPt>
          <c:dPt>
            <c:idx val="1"/>
            <c:bubble3D val="0"/>
            <c:spPr>
              <a:solidFill>
                <a:srgbClr val="C0504D"/>
              </a:solidFill>
              <a:ln w="0">
                <a:noFill/>
              </a:ln>
            </c:spPr>
            <c:extLst>
              <c:ext xmlns:c16="http://schemas.microsoft.com/office/drawing/2014/chart" uri="{C3380CC4-5D6E-409C-BE32-E72D297353CC}">
                <c16:uniqueId val="{00000003-78A9-4AB3-BE8C-F29713EC3AC9}"/>
              </c:ext>
            </c:extLst>
          </c:dPt>
          <c:dPt>
            <c:idx val="2"/>
            <c:bubble3D val="0"/>
            <c:spPr>
              <a:solidFill>
                <a:srgbClr val="9BBB59"/>
              </a:solidFill>
              <a:ln w="0">
                <a:noFill/>
              </a:ln>
            </c:spPr>
            <c:extLst>
              <c:ext xmlns:c16="http://schemas.microsoft.com/office/drawing/2014/chart" uri="{C3380CC4-5D6E-409C-BE32-E72D297353CC}">
                <c16:uniqueId val="{00000005-78A9-4AB3-BE8C-F29713EC3AC9}"/>
              </c:ext>
            </c:extLst>
          </c:dPt>
          <c:dPt>
            <c:idx val="3"/>
            <c:bubble3D val="0"/>
            <c:spPr>
              <a:solidFill>
                <a:srgbClr val="8064A2"/>
              </a:solidFill>
              <a:ln w="0">
                <a:noFill/>
              </a:ln>
            </c:spPr>
            <c:extLst>
              <c:ext xmlns:c16="http://schemas.microsoft.com/office/drawing/2014/chart" uri="{C3380CC4-5D6E-409C-BE32-E72D297353CC}">
                <c16:uniqueId val="{00000007-78A9-4AB3-BE8C-F29713EC3AC9}"/>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1-78A9-4AB3-BE8C-F29713EC3AC9}"/>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3-78A9-4AB3-BE8C-F29713EC3AC9}"/>
                </c:ext>
              </c:extLst>
            </c:dLbl>
            <c:dLbl>
              <c:idx val="2"/>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5-78A9-4AB3-BE8C-F29713EC3AC9}"/>
                </c:ext>
              </c:extLst>
            </c:dLbl>
            <c:dLbl>
              <c:idx val="3"/>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7-78A9-4AB3-BE8C-F29713EC3AC9}"/>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'PMF Survey'!$A$10:$A$13</c:f>
              <c:strCache>
                <c:ptCount val="4"/>
                <c:pt idx="0">
                  <c:v>Very disappointed</c:v>
                </c:pt>
                <c:pt idx="1">
                  <c:v>Somewhat disappointed</c:v>
                </c:pt>
                <c:pt idx="2">
                  <c:v>Not disappointed</c:v>
                </c:pt>
                <c:pt idx="3">
                  <c:v>N/A – I no longer use it</c:v>
                </c:pt>
              </c:strCache>
            </c:strRef>
          </c:cat>
          <c:val>
            <c:numRef>
              <c:f>'PMF Survey'!$B$10:$B$13</c:f>
              <c:numCache>
                <c:formatCode>#,##0</c:formatCode>
                <c:ptCount val="4"/>
                <c:pt idx="0">
                  <c:v>210</c:v>
                </c:pt>
                <c:pt idx="1">
                  <c:v>180</c:v>
                </c:pt>
                <c:pt idx="2">
                  <c:v>90</c:v>
                </c:pt>
                <c:pt idx="3">
                  <c:v>20</c:v>
                </c:pt>
              </c:numCache>
            </c:numRef>
          </c:val>
          <c:extLst>
            <c:ext xmlns:c16="http://schemas.microsoft.com/office/drawing/2014/chart" uri="{C3380CC4-5D6E-409C-BE32-E72D297353CC}">
              <c16:uniqueId val="{00000008-78A9-4AB3-BE8C-F29713EC3AC9}"/>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Conversion rate: Control vs Variant</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ext>
            </c:extLst>
          </c:dLbls>
          <c:cat>
            <c:strRef>
              <c:f>'A-B Test'!$A$15:$A$16</c:f>
              <c:strCache>
                <c:ptCount val="2"/>
                <c:pt idx="0">
                  <c:v>Control</c:v>
                </c:pt>
                <c:pt idx="1">
                  <c:v>Variant</c:v>
                </c:pt>
              </c:strCache>
            </c:strRef>
          </c:cat>
          <c:val>
            <c:numRef>
              <c:f>'A-B Test'!$B$15:$B$16</c:f>
              <c:numCache>
                <c:formatCode>0.0%</c:formatCode>
                <c:ptCount val="2"/>
                <c:pt idx="0">
                  <c:v>0.08</c:v>
                </c:pt>
                <c:pt idx="1">
                  <c:v>8.7999999999999995E-2</c:v>
                </c:pt>
              </c:numCache>
            </c:numRef>
          </c:val>
          <c:extLst>
            <c:ext xmlns:c16="http://schemas.microsoft.com/office/drawing/2014/chart" uri="{C3380CC4-5D6E-409C-BE32-E72D297353CC}">
              <c16:uniqueId val="{00000000-FE28-4D2D-987C-CDDE7CABD084}"/>
            </c:ext>
          </c:extLst>
        </c:ser>
        <c:dLbls>
          <c:showLegendKey val="0"/>
          <c:showVal val="0"/>
          <c:showCatName val="0"/>
          <c:showSerName val="0"/>
          <c:showPercent val="0"/>
          <c:showBubbleSize val="0"/>
        </c:dLbls>
        <c:gapWidth val="150"/>
        <c:axId val="91500733"/>
        <c:axId val="57428043"/>
      </c:barChart>
      <c:catAx>
        <c:axId val="9150073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7428043"/>
        <c:crosses val="autoZero"/>
        <c:auto val="1"/>
        <c:lblAlgn val="ctr"/>
        <c:lblOffset val="100"/>
        <c:noMultiLvlLbl val="0"/>
      </c:catAx>
      <c:valAx>
        <c:axId val="5742804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50073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Progress by Key Result</a:t>
            </a:r>
          </a:p>
        </c:rich>
      </c:tx>
      <c:overlay val="0"/>
      <c:spPr>
        <a:noFill/>
        <a:ln w="0">
          <a:noFill/>
        </a:ln>
      </c:spPr>
    </c:title>
    <c:autoTitleDeleted val="0"/>
    <c:plotArea>
      <c:layout/>
      <c:barChart>
        <c:barDir val="bar"/>
        <c:grouping val="clustered"/>
        <c:varyColors val="0"/>
        <c:ser>
          <c:idx val="0"/>
          <c:order val="0"/>
          <c:tx>
            <c:strRef>
              <c:f>'OKR Tracker'!$F$8</c:f>
              <c:strCache>
                <c:ptCount val="1"/>
                <c:pt idx="0">
                  <c:v>Progress</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ext>
            </c:extLst>
          </c:dLbls>
          <c:cat>
            <c:strRef>
              <c:f>'OKR Tracker'!$B$9:$B$13</c:f>
              <c:strCache>
                <c:ptCount val="5"/>
                <c:pt idx="0">
                  <c:v>D30 retention (%)</c:v>
                </c:pt>
                <c:pt idx="1">
                  <c:v>Checkout completion (%)</c:v>
                </c:pt>
                <c:pt idx="2">
                  <c:v>Tier-2 MAU (000s)</c:v>
                </c:pt>
                <c:pt idx="3">
                  <c:v>Tier-2 orders/user/mo</c:v>
                </c:pt>
                <c:pt idx="4">
                  <c:v>LTV:CAC ratio</c:v>
                </c:pt>
              </c:strCache>
            </c:strRef>
          </c:cat>
          <c:val>
            <c:numRef>
              <c:f>'OKR Tracker'!$F$9:$F$13</c:f>
              <c:numCache>
                <c:formatCode>0%</c:formatCode>
                <c:ptCount val="5"/>
                <c:pt idx="0">
                  <c:v>0.41666666666666669</c:v>
                </c:pt>
                <c:pt idx="1">
                  <c:v>0.5714285714285714</c:v>
                </c:pt>
                <c:pt idx="2">
                  <c:v>0.44</c:v>
                </c:pt>
                <c:pt idx="3">
                  <c:v>0.45454545454545453</c:v>
                </c:pt>
                <c:pt idx="4">
                  <c:v>0.49999999999999989</c:v>
                </c:pt>
              </c:numCache>
            </c:numRef>
          </c:val>
          <c:extLst>
            <c:ext xmlns:c16="http://schemas.microsoft.com/office/drawing/2014/chart" uri="{C3380CC4-5D6E-409C-BE32-E72D297353CC}">
              <c16:uniqueId val="{00000000-EFDB-4C85-BA75-A733E563A046}"/>
            </c:ext>
          </c:extLst>
        </c:ser>
        <c:dLbls>
          <c:showLegendKey val="0"/>
          <c:showVal val="0"/>
          <c:showCatName val="0"/>
          <c:showSerName val="0"/>
          <c:showPercent val="0"/>
          <c:showBubbleSize val="0"/>
        </c:dLbls>
        <c:gapWidth val="150"/>
        <c:axId val="55117714"/>
        <c:axId val="2552457"/>
      </c:barChart>
      <c:catAx>
        <c:axId val="55117714"/>
        <c:scaling>
          <c:orientation val="minMax"/>
        </c:scaling>
        <c:delete val="0"/>
        <c:axPos val="l"/>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552457"/>
        <c:crosses val="autoZero"/>
        <c:auto val="1"/>
        <c:lblAlgn val="ctr"/>
        <c:lblOffset val="100"/>
        <c:noMultiLvlLbl val="0"/>
      </c:catAx>
      <c:valAx>
        <c:axId val="2552457"/>
        <c:scaling>
          <c:orientation val="minMax"/>
        </c:scaling>
        <c:delete val="0"/>
        <c:axPos val="b"/>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11771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18</xdr:row>
      <xdr:rowOff>0</xdr:rowOff>
    </xdr:from>
    <xdr:to>
      <xdr:col>7</xdr:col>
      <xdr:colOff>80280</xdr:colOff>
      <xdr:row>35</xdr:row>
      <xdr:rowOff>181080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558360</xdr:colOff>
      <xdr:row>31</xdr:row>
      <xdr:rowOff>11160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7</xdr:row>
      <xdr:rowOff>0</xdr:rowOff>
    </xdr:from>
    <xdr:to>
      <xdr:col>12</xdr:col>
      <xdr:colOff>398880</xdr:colOff>
      <xdr:row>26</xdr:row>
      <xdr:rowOff>149400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5</xdr:col>
      <xdr:colOff>309240</xdr:colOff>
      <xdr:row>33</xdr:row>
      <xdr:rowOff>170280</xdr:rowOff>
    </xdr:to>
    <xdr:graphicFrame macro="">
      <xdr:nvGraphicFramePr>
        <xdr:cNvPr id="3" name="Chart 1">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6</xdr:col>
      <xdr:colOff>206280</xdr:colOff>
      <xdr:row>32</xdr:row>
      <xdr:rowOff>11160</xdr:rowOff>
    </xdr:to>
    <xdr:graphicFrame macro="">
      <xdr:nvGraphicFramePr>
        <xdr:cNvPr id="4" name="Chart 1">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14</xdr:row>
      <xdr:rowOff>78120</xdr:rowOff>
    </xdr:from>
    <xdr:to>
      <xdr:col>9</xdr:col>
      <xdr:colOff>511200</xdr:colOff>
      <xdr:row>29</xdr:row>
      <xdr:rowOff>99720</xdr:rowOff>
    </xdr:to>
    <xdr:graphicFrame macro="">
      <xdr:nvGraphicFramePr>
        <xdr:cNvPr id="5" name="Chart 1">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5</xdr:col>
      <xdr:colOff>488160</xdr:colOff>
      <xdr:row>33</xdr:row>
      <xdr:rowOff>720</xdr:rowOff>
    </xdr:to>
    <xdr:graphicFrame macro="">
      <xdr:nvGraphicFramePr>
        <xdr:cNvPr id="6" name="Chart 1">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4</xdr:col>
      <xdr:colOff>1044360</xdr:colOff>
      <xdr:row>35</xdr:row>
      <xdr:rowOff>149400</xdr:rowOff>
    </xdr:to>
    <xdr:graphicFrame macro="">
      <xdr:nvGraphicFramePr>
        <xdr:cNvPr id="7" name="Chart 1">
          <a:extLst>
            <a:ext uri="{FF2B5EF4-FFF2-40B4-BE49-F238E27FC236}">
              <a16:creationId xmlns:a16="http://schemas.microsoft.com/office/drawing/2014/main" id="{00000000-0008-0000-0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4</xdr:col>
      <xdr:colOff>840600</xdr:colOff>
      <xdr:row>30</xdr:row>
      <xdr:rowOff>11160</xdr:rowOff>
    </xdr:to>
    <xdr:graphicFrame macro="">
      <xdr:nvGraphicFramePr>
        <xdr:cNvPr id="8" name="Chart 1">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0</xdr:colOff>
      <xdr:row>7</xdr:row>
      <xdr:rowOff>0</xdr:rowOff>
    </xdr:from>
    <xdr:to>
      <xdr:col>11</xdr:col>
      <xdr:colOff>38880</xdr:colOff>
      <xdr:row>23</xdr:row>
      <xdr:rowOff>23760</xdr:rowOff>
    </xdr:to>
    <xdr:graphicFrame macro="">
      <xdr:nvGraphicFramePr>
        <xdr:cNvPr id="9" name="Chart 1">
          <a:extLst>
            <a:ext uri="{FF2B5EF4-FFF2-40B4-BE49-F238E27FC236}">
              <a16:creationId xmlns:a16="http://schemas.microsoft.com/office/drawing/2014/main" id="{00000000-0008-0000-0A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0</xdr:colOff>
      <xdr:row>8</xdr:row>
      <xdr:rowOff>0</xdr:rowOff>
    </xdr:from>
    <xdr:to>
      <xdr:col>13</xdr:col>
      <xdr:colOff>522360</xdr:colOff>
      <xdr:row>21</xdr:row>
      <xdr:rowOff>3600</xdr:rowOff>
    </xdr:to>
    <xdr:graphicFrame macro="">
      <xdr:nvGraphicFramePr>
        <xdr:cNvPr id="10" name="Chart 1">
          <a:extLst>
            <a:ext uri="{FF2B5EF4-FFF2-40B4-BE49-F238E27FC236}">
              <a16:creationId xmlns:a16="http://schemas.microsoft.com/office/drawing/2014/main" id="{00000000-0008-0000-0B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4</xdr:col>
      <xdr:colOff>825480</xdr:colOff>
      <xdr:row>31</xdr:row>
      <xdr:rowOff>11160</xdr:rowOff>
    </xdr:to>
    <xdr:graphicFrame macro="">
      <xdr:nvGraphicFramePr>
        <xdr:cNvPr id="11" name="Chart 1">
          <a:extLst>
            <a:ext uri="{FF2B5EF4-FFF2-40B4-BE49-F238E27FC236}">
              <a16:creationId xmlns:a16="http://schemas.microsoft.com/office/drawing/2014/main" id="{00000000-0008-0000-0C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4</xdr:col>
      <xdr:colOff>903240</xdr:colOff>
      <xdr:row>31</xdr:row>
      <xdr:rowOff>11160</xdr:rowOff>
    </xdr:to>
    <xdr:graphicFrame macro="">
      <xdr:nvGraphicFramePr>
        <xdr:cNvPr id="12" name="Chart 1">
          <a:extLst>
            <a:ext uri="{FF2B5EF4-FFF2-40B4-BE49-F238E27FC236}">
              <a16:creationId xmlns:a16="http://schemas.microsoft.com/office/drawing/2014/main" id="{00000000-0008-0000-0D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1371600</xdr:colOff>
      <xdr:row>21</xdr:row>
      <xdr:rowOff>182895</xdr:rowOff>
    </xdr:from>
    <xdr:to>
      <xdr:col>9</xdr:col>
      <xdr:colOff>486390</xdr:colOff>
      <xdr:row>36</xdr:row>
      <xdr:rowOff>24435</xdr:rowOff>
    </xdr:to>
    <xdr:graphicFrame macro="">
      <xdr:nvGraphicFramePr>
        <xdr:cNvPr id="13" name="Chart 1">
          <a:extLst>
            <a:ext uri="{FF2B5EF4-FFF2-40B4-BE49-F238E27FC236}">
              <a16:creationId xmlns:a16="http://schemas.microsoft.com/office/drawing/2014/main" id="{00000000-0008-0000-0E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23</xdr:row>
      <xdr:rowOff>0</xdr:rowOff>
    </xdr:from>
    <xdr:to>
      <xdr:col>8</xdr:col>
      <xdr:colOff>417600</xdr:colOff>
      <xdr:row>40</xdr:row>
      <xdr:rowOff>720</xdr:rowOff>
    </xdr:to>
    <xdr:graphicFrame macro="">
      <xdr:nvGraphicFramePr>
        <xdr:cNvPr id="14" name="Chart 1">
          <a:extLst>
            <a:ext uri="{FF2B5EF4-FFF2-40B4-BE49-F238E27FC236}">
              <a16:creationId xmlns:a16="http://schemas.microsoft.com/office/drawing/2014/main" id="{00000000-0008-0000-0F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0</xdr:colOff>
      <xdr:row>8</xdr:row>
      <xdr:rowOff>0</xdr:rowOff>
    </xdr:from>
    <xdr:to>
      <xdr:col>6</xdr:col>
      <xdr:colOff>606240</xdr:colOff>
      <xdr:row>22</xdr:row>
      <xdr:rowOff>50400</xdr:rowOff>
    </xdr:to>
    <xdr:graphicFrame macro="">
      <xdr:nvGraphicFramePr>
        <xdr:cNvPr id="15" name="Chart 1">
          <a:extLst>
            <a:ext uri="{FF2B5EF4-FFF2-40B4-BE49-F238E27FC236}">
              <a16:creationId xmlns:a16="http://schemas.microsoft.com/office/drawing/2014/main" id="{00000000-0008-0000-10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0</xdr:colOff>
      <xdr:row>19</xdr:row>
      <xdr:rowOff>0</xdr:rowOff>
    </xdr:from>
    <xdr:to>
      <xdr:col>5</xdr:col>
      <xdr:colOff>435240</xdr:colOff>
      <xdr:row>33</xdr:row>
      <xdr:rowOff>32400</xdr:rowOff>
    </xdr:to>
    <xdr:graphicFrame macro="">
      <xdr:nvGraphicFramePr>
        <xdr:cNvPr id="16" name="Chart 1">
          <a:extLst>
            <a:ext uri="{FF2B5EF4-FFF2-40B4-BE49-F238E27FC236}">
              <a16:creationId xmlns:a16="http://schemas.microsoft.com/office/drawing/2014/main" id="{00000000-0008-0000-11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5</xdr:col>
      <xdr:colOff>417600</xdr:colOff>
      <xdr:row>32</xdr:row>
      <xdr:rowOff>720</xdr:rowOff>
    </xdr:to>
    <xdr:graphicFrame macro="">
      <xdr:nvGraphicFramePr>
        <xdr:cNvPr id="17" name="Chart 1">
          <a:extLst>
            <a:ext uri="{FF2B5EF4-FFF2-40B4-BE49-F238E27FC236}">
              <a16:creationId xmlns:a16="http://schemas.microsoft.com/office/drawing/2014/main" id="{00000000-0008-0000-12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m_frameworks.xlsx" TargetMode="External"/><Relationship Id="rId13" Type="http://schemas.openxmlformats.org/officeDocument/2006/relationships/hyperlink" Target="pm_frameworks.xlsx" TargetMode="External"/><Relationship Id="rId18" Type="http://schemas.openxmlformats.org/officeDocument/2006/relationships/hyperlink" Target="pm_frameworks.xlsx" TargetMode="External"/><Relationship Id="rId3" Type="http://schemas.openxmlformats.org/officeDocument/2006/relationships/hyperlink" Target="pm_frameworks.xlsx" TargetMode="External"/><Relationship Id="rId7" Type="http://schemas.openxmlformats.org/officeDocument/2006/relationships/hyperlink" Target="pm_frameworks.xlsx" TargetMode="External"/><Relationship Id="rId12" Type="http://schemas.openxmlformats.org/officeDocument/2006/relationships/hyperlink" Target="pm_frameworks.xlsx" TargetMode="External"/><Relationship Id="rId17" Type="http://schemas.openxmlformats.org/officeDocument/2006/relationships/hyperlink" Target="pm_frameworks.xlsx" TargetMode="External"/><Relationship Id="rId2" Type="http://schemas.openxmlformats.org/officeDocument/2006/relationships/hyperlink" Target="pm_frameworks.xlsx" TargetMode="External"/><Relationship Id="rId16" Type="http://schemas.openxmlformats.org/officeDocument/2006/relationships/hyperlink" Target="pm_frameworks.xlsx" TargetMode="External"/><Relationship Id="rId1" Type="http://schemas.openxmlformats.org/officeDocument/2006/relationships/hyperlink" Target="pm_frameworks.xlsx" TargetMode="External"/><Relationship Id="rId6" Type="http://schemas.openxmlformats.org/officeDocument/2006/relationships/hyperlink" Target="pm_frameworks.xlsx" TargetMode="External"/><Relationship Id="rId11" Type="http://schemas.openxmlformats.org/officeDocument/2006/relationships/hyperlink" Target="pm_frameworks.xlsx" TargetMode="External"/><Relationship Id="rId5" Type="http://schemas.openxmlformats.org/officeDocument/2006/relationships/hyperlink" Target="pm_frameworks.xlsx" TargetMode="External"/><Relationship Id="rId15" Type="http://schemas.openxmlformats.org/officeDocument/2006/relationships/hyperlink" Target="pm_frameworks.xlsx" TargetMode="External"/><Relationship Id="rId10" Type="http://schemas.openxmlformats.org/officeDocument/2006/relationships/hyperlink" Target="pm_frameworks.xlsx" TargetMode="External"/><Relationship Id="rId4" Type="http://schemas.openxmlformats.org/officeDocument/2006/relationships/hyperlink" Target="pm_frameworks.xlsx" TargetMode="External"/><Relationship Id="rId9" Type="http://schemas.openxmlformats.org/officeDocument/2006/relationships/hyperlink" Target="pm_frameworks.xlsx" TargetMode="External"/><Relationship Id="rId14" Type="http://schemas.openxmlformats.org/officeDocument/2006/relationships/hyperlink" Target="pm_frameworks.xls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34"/>
  <sheetViews>
    <sheetView showGridLines="0" tabSelected="1" zoomScaleNormal="100" workbookViewId="0">
      <selection activeCell="J27" sqref="J27"/>
    </sheetView>
  </sheetViews>
  <sheetFormatPr defaultColWidth="8.7109375" defaultRowHeight="15" x14ac:dyDescent="0.25"/>
  <cols>
    <col min="1" max="1" width="2" customWidth="1"/>
    <col min="2" max="2" width="30" customWidth="1"/>
    <col min="3" max="3" width="58" customWidth="1"/>
    <col min="4" max="4" width="26" customWidth="1"/>
    <col min="5" max="5" width="2" customWidth="1"/>
  </cols>
  <sheetData>
    <row r="2" spans="2:4" ht="45.75" customHeight="1" x14ac:dyDescent="0.25">
      <c r="B2" s="11" t="s">
        <v>0</v>
      </c>
      <c r="C2" s="11"/>
      <c r="D2" s="11"/>
    </row>
    <row r="3" spans="2:4" ht="25.5" customHeight="1" x14ac:dyDescent="0.25">
      <c r="B3" s="10" t="s">
        <v>1</v>
      </c>
      <c r="C3" s="10"/>
      <c r="D3" s="10"/>
    </row>
    <row r="5" spans="2:4" ht="16.5" x14ac:dyDescent="0.25">
      <c r="B5" s="9" t="s">
        <v>2</v>
      </c>
      <c r="C5" s="9"/>
      <c r="D5" s="9"/>
    </row>
    <row r="6" spans="2:4" ht="18" customHeight="1" x14ac:dyDescent="0.25">
      <c r="B6" s="8" t="s">
        <v>3</v>
      </c>
      <c r="C6" s="8"/>
      <c r="D6" s="8"/>
    </row>
    <row r="7" spans="2:4" ht="18" customHeight="1" x14ac:dyDescent="0.25">
      <c r="B7" s="8"/>
      <c r="C7" s="8"/>
      <c r="D7" s="8"/>
    </row>
    <row r="8" spans="2:4" ht="18" customHeight="1" x14ac:dyDescent="0.25">
      <c r="B8" s="8"/>
      <c r="C8" s="8"/>
      <c r="D8" s="8"/>
    </row>
    <row r="10" spans="2:4" ht="21.75" customHeight="1" x14ac:dyDescent="0.25">
      <c r="B10" s="7" t="s">
        <v>4</v>
      </c>
      <c r="C10" s="7"/>
      <c r="D10" s="7"/>
    </row>
    <row r="11" spans="2:4" ht="18" customHeight="1" x14ac:dyDescent="0.25">
      <c r="B11" s="6" t="s">
        <v>5</v>
      </c>
      <c r="C11" s="6"/>
      <c r="D11" s="6"/>
    </row>
    <row r="12" spans="2:4" x14ac:dyDescent="0.25">
      <c r="B12" s="12" t="s">
        <v>6</v>
      </c>
      <c r="C12" s="13" t="s">
        <v>7</v>
      </c>
      <c r="D12" s="14" t="s">
        <v>8</v>
      </c>
    </row>
    <row r="13" spans="2:4" x14ac:dyDescent="0.25">
      <c r="B13" s="12" t="s">
        <v>9</v>
      </c>
      <c r="C13" s="13" t="s">
        <v>10</v>
      </c>
      <c r="D13" s="14" t="s">
        <v>8</v>
      </c>
    </row>
    <row r="14" spans="2:4" x14ac:dyDescent="0.25">
      <c r="B14" s="12" t="s">
        <v>11</v>
      </c>
      <c r="C14" s="13" t="s">
        <v>12</v>
      </c>
      <c r="D14" s="14" t="s">
        <v>8</v>
      </c>
    </row>
    <row r="15" spans="2:4" x14ac:dyDescent="0.25">
      <c r="B15" s="12" t="s">
        <v>13</v>
      </c>
      <c r="C15" s="13" t="s">
        <v>14</v>
      </c>
      <c r="D15" s="14" t="s">
        <v>8</v>
      </c>
    </row>
    <row r="16" spans="2:4" x14ac:dyDescent="0.25">
      <c r="B16" s="12" t="s">
        <v>15</v>
      </c>
      <c r="C16" s="13" t="s">
        <v>16</v>
      </c>
      <c r="D16" s="14" t="s">
        <v>8</v>
      </c>
    </row>
    <row r="17" spans="2:4" x14ac:dyDescent="0.25">
      <c r="B17" s="12" t="s">
        <v>17</v>
      </c>
      <c r="C17" s="13" t="s">
        <v>18</v>
      </c>
      <c r="D17" s="14" t="s">
        <v>8</v>
      </c>
    </row>
    <row r="18" spans="2:4" x14ac:dyDescent="0.25">
      <c r="B18" s="12" t="s">
        <v>19</v>
      </c>
      <c r="C18" s="13" t="s">
        <v>20</v>
      </c>
      <c r="D18" s="14" t="s">
        <v>8</v>
      </c>
    </row>
    <row r="19" spans="2:4" ht="18" customHeight="1" x14ac:dyDescent="0.25">
      <c r="B19" s="6" t="s">
        <v>21</v>
      </c>
      <c r="C19" s="6"/>
      <c r="D19" s="6"/>
    </row>
    <row r="20" spans="2:4" x14ac:dyDescent="0.25">
      <c r="B20" s="12" t="s">
        <v>22</v>
      </c>
      <c r="C20" s="13" t="s">
        <v>23</v>
      </c>
      <c r="D20" s="14" t="s">
        <v>8</v>
      </c>
    </row>
    <row r="21" spans="2:4" x14ac:dyDescent="0.25">
      <c r="B21" s="12" t="s">
        <v>24</v>
      </c>
      <c r="C21" s="13" t="s">
        <v>25</v>
      </c>
      <c r="D21" s="14" t="s">
        <v>8</v>
      </c>
    </row>
    <row r="22" spans="2:4" x14ac:dyDescent="0.25">
      <c r="B22" s="12" t="s">
        <v>26</v>
      </c>
      <c r="C22" s="13" t="s">
        <v>27</v>
      </c>
      <c r="D22" s="14" t="s">
        <v>8</v>
      </c>
    </row>
    <row r="23" spans="2:4" ht="18" customHeight="1" x14ac:dyDescent="0.25">
      <c r="B23" s="6" t="s">
        <v>28</v>
      </c>
      <c r="C23" s="6"/>
      <c r="D23" s="6"/>
    </row>
    <row r="24" spans="2:4" x14ac:dyDescent="0.25">
      <c r="B24" s="12" t="s">
        <v>29</v>
      </c>
      <c r="C24" s="13" t="s">
        <v>30</v>
      </c>
      <c r="D24" s="14" t="s">
        <v>8</v>
      </c>
    </row>
    <row r="25" spans="2:4" x14ac:dyDescent="0.25">
      <c r="B25" s="12" t="s">
        <v>31</v>
      </c>
      <c r="C25" s="13" t="s">
        <v>32</v>
      </c>
      <c r="D25" s="14" t="s">
        <v>8</v>
      </c>
    </row>
    <row r="26" spans="2:4" x14ac:dyDescent="0.25">
      <c r="B26" s="12" t="s">
        <v>33</v>
      </c>
      <c r="C26" s="13" t="s">
        <v>34</v>
      </c>
      <c r="D26" s="14" t="s">
        <v>8</v>
      </c>
    </row>
    <row r="27" spans="2:4" x14ac:dyDescent="0.25">
      <c r="B27" s="12" t="s">
        <v>35</v>
      </c>
      <c r="C27" s="13" t="s">
        <v>36</v>
      </c>
      <c r="D27" s="14" t="s">
        <v>8</v>
      </c>
    </row>
    <row r="28" spans="2:4" x14ac:dyDescent="0.25">
      <c r="B28" s="12" t="s">
        <v>37</v>
      </c>
      <c r="C28" s="13" t="s">
        <v>38</v>
      </c>
      <c r="D28" s="14" t="s">
        <v>8</v>
      </c>
    </row>
    <row r="29" spans="2:4" x14ac:dyDescent="0.25">
      <c r="B29" s="12" t="s">
        <v>39</v>
      </c>
      <c r="C29" s="13" t="s">
        <v>40</v>
      </c>
      <c r="D29" s="14" t="s">
        <v>8</v>
      </c>
    </row>
    <row r="30" spans="2:4" ht="18" customHeight="1" x14ac:dyDescent="0.25">
      <c r="B30" s="6" t="s">
        <v>41</v>
      </c>
      <c r="C30" s="6"/>
      <c r="D30" s="6"/>
    </row>
    <row r="31" spans="2:4" x14ac:dyDescent="0.25">
      <c r="B31" s="12" t="s">
        <v>42</v>
      </c>
      <c r="C31" s="13" t="s">
        <v>43</v>
      </c>
      <c r="D31" s="14" t="s">
        <v>8</v>
      </c>
    </row>
    <row r="32" spans="2:4" x14ac:dyDescent="0.25">
      <c r="B32" s="12" t="s">
        <v>44</v>
      </c>
      <c r="C32" s="13" t="s">
        <v>45</v>
      </c>
      <c r="D32" s="14" t="s">
        <v>8</v>
      </c>
    </row>
    <row r="34" spans="2:4" ht="22.35" customHeight="1" x14ac:dyDescent="0.25">
      <c r="B34" s="5" t="s">
        <v>46</v>
      </c>
      <c r="C34" s="5"/>
      <c r="D34" s="5"/>
    </row>
  </sheetData>
  <mergeCells count="10">
    <mergeCell ref="B11:D11"/>
    <mergeCell ref="B19:D19"/>
    <mergeCell ref="B23:D23"/>
    <mergeCell ref="B30:D30"/>
    <mergeCell ref="B34:D34"/>
    <mergeCell ref="B2:D2"/>
    <mergeCell ref="B3:D3"/>
    <mergeCell ref="B5:D5"/>
    <mergeCell ref="B6:D8"/>
    <mergeCell ref="B10:D10"/>
  </mergeCells>
  <hyperlinks>
    <hyperlink ref="B12" r:id="rId1" location="'RICE'!A1" xr:uid="{00000000-0004-0000-0000-000000000000}"/>
    <hyperlink ref="B13" r:id="rId2" location="'Weighted%20Scoring'!A1" xr:uid="{00000000-0004-0000-0000-000001000000}"/>
    <hyperlink ref="B14" r:id="rId3" location="'Value%20vs%20Effort'!A1" xr:uid="{00000000-0004-0000-0000-000002000000}"/>
    <hyperlink ref="B15" r:id="rId4" location="'Kano%20Model'!A1" xr:uid="{00000000-0004-0000-0000-000003000000}"/>
    <hyperlink ref="B16" r:id="rId5" location="'WSJF'!A1" xr:uid="{00000000-0004-0000-0000-000004000000}"/>
    <hyperlink ref="B17" r:id="rId6" location="'MoSCoW'!A1" xr:uid="{00000000-0004-0000-0000-000005000000}"/>
    <hyperlink ref="B18" r:id="rId7" location="'Opportunity%20Scoring'!A1" xr:uid="{00000000-0004-0000-0000-000006000000}"/>
    <hyperlink ref="B20" r:id="rId8" location="'BCG%20Matrix'!A1" xr:uid="{00000000-0004-0000-0000-000007000000}"/>
    <hyperlink ref="B21" r:id="rId9" location="'Ansoff%20Matrix'!A1" xr:uid="{00000000-0004-0000-0000-000008000000}"/>
    <hyperlink ref="B22" r:id="rId10" location="'Porter%205%20Forces'!A1" xr:uid="{00000000-0004-0000-0000-000009000000}"/>
    <hyperlink ref="B24" r:id="rId11" location="'North%20Star'!A1" xr:uid="{00000000-0004-0000-0000-00000A000000}"/>
    <hyperlink ref="B25" r:id="rId12" location="'AARRR%20Funnel'!A1" xr:uid="{00000000-0004-0000-0000-00000B000000}"/>
    <hyperlink ref="B26" r:id="rId13" location="'HEART'!A1" xr:uid="{00000000-0004-0000-0000-00000C000000}"/>
    <hyperlink ref="B27" r:id="rId14" location="'Unit%20Economics'!A1" xr:uid="{00000000-0004-0000-0000-00000D000000}"/>
    <hyperlink ref="B28" r:id="rId15" location="'Cohort%20Retention'!A1" xr:uid="{00000000-0004-0000-0000-00000E000000}"/>
    <hyperlink ref="B29" r:id="rId16" location="'PMF%20Survey'!A1" xr:uid="{00000000-0004-0000-0000-00000F000000}"/>
    <hyperlink ref="B31" r:id="rId17" location="'A-B%20Test'!A1" xr:uid="{00000000-0004-0000-0000-000010000000}"/>
    <hyperlink ref="B32" r:id="rId18" location="'OKR%20Tracker'!A1" xr:uid="{00000000-0004-0000-0000-000011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9"/>
  <sheetViews>
    <sheetView showGridLines="0" zoomScaleNormal="100" workbookViewId="0">
      <selection sqref="A1:G1"/>
    </sheetView>
  </sheetViews>
  <sheetFormatPr defaultColWidth="8.7109375" defaultRowHeight="15" x14ac:dyDescent="0.25"/>
  <cols>
    <col min="1" max="1" width="26" customWidth="1"/>
    <col min="2" max="2" width="15" customWidth="1"/>
    <col min="3" max="3" width="12" customWidth="1"/>
    <col min="4" max="6" width="13" customWidth="1"/>
    <col min="7" max="7" width="9" customWidth="1"/>
  </cols>
  <sheetData>
    <row r="1" spans="1:7" ht="33.75" customHeight="1" x14ac:dyDescent="0.25">
      <c r="A1" s="4" t="s">
        <v>47</v>
      </c>
      <c r="B1" s="4"/>
      <c r="C1" s="4"/>
      <c r="D1" s="4"/>
      <c r="E1" s="4"/>
      <c r="F1" s="4"/>
      <c r="G1" s="4"/>
    </row>
    <row r="2" spans="1:7" ht="30" customHeight="1" x14ac:dyDescent="0.25">
      <c r="A2" s="3" t="s">
        <v>48</v>
      </c>
      <c r="B2" s="3"/>
      <c r="C2" s="3"/>
      <c r="D2" s="3"/>
      <c r="E2" s="3"/>
      <c r="F2" s="3"/>
      <c r="G2" s="3"/>
    </row>
    <row r="3" spans="1:7" ht="15" customHeight="1" x14ac:dyDescent="0.25">
      <c r="A3" s="5" t="s">
        <v>49</v>
      </c>
      <c r="B3" s="5"/>
      <c r="C3" s="5"/>
      <c r="D3" s="5"/>
      <c r="E3" s="5"/>
      <c r="F3" s="5"/>
      <c r="G3" s="5"/>
    </row>
    <row r="4" spans="1:7" ht="15" customHeight="1" x14ac:dyDescent="0.25">
      <c r="A4" s="5"/>
      <c r="B4" s="5"/>
      <c r="C4" s="5"/>
      <c r="D4" s="5"/>
      <c r="E4" s="5"/>
      <c r="F4" s="5"/>
      <c r="G4" s="5"/>
    </row>
    <row r="5" spans="1:7" ht="15" customHeight="1" x14ac:dyDescent="0.25">
      <c r="A5" s="5"/>
      <c r="B5" s="5"/>
      <c r="C5" s="5"/>
      <c r="D5" s="5"/>
      <c r="E5" s="5"/>
      <c r="F5" s="5"/>
      <c r="G5" s="5"/>
    </row>
    <row r="6" spans="1:7" ht="18" customHeight="1" x14ac:dyDescent="0.25">
      <c r="A6" s="2" t="s">
        <v>50</v>
      </c>
      <c r="B6" s="2"/>
      <c r="C6" s="2"/>
      <c r="D6" s="2"/>
      <c r="E6" s="2"/>
      <c r="F6" s="2"/>
      <c r="G6" s="2"/>
    </row>
    <row r="8" spans="1:7" ht="30" customHeight="1" x14ac:dyDescent="0.25">
      <c r="A8" s="15" t="s">
        <v>51</v>
      </c>
      <c r="B8" s="15" t="s">
        <v>52</v>
      </c>
      <c r="C8" s="15" t="s">
        <v>53</v>
      </c>
      <c r="D8" s="15" t="s">
        <v>54</v>
      </c>
      <c r="E8" s="15" t="s">
        <v>55</v>
      </c>
      <c r="F8" s="15" t="s">
        <v>56</v>
      </c>
      <c r="G8" s="15" t="s">
        <v>57</v>
      </c>
    </row>
    <row r="9" spans="1:7" x14ac:dyDescent="0.25">
      <c r="A9" s="16" t="s">
        <v>58</v>
      </c>
      <c r="B9" s="17">
        <v>42000</v>
      </c>
      <c r="C9" s="18">
        <v>2</v>
      </c>
      <c r="D9" s="19">
        <v>0.9</v>
      </c>
      <c r="E9" s="20">
        <v>2</v>
      </c>
      <c r="F9" s="21">
        <f t="shared" ref="F9:F16" si="0">(B9*C9*D9)/E9</f>
        <v>37800</v>
      </c>
      <c r="G9" s="22">
        <f t="shared" ref="G9:G16" si="1">RANK(F9,$F$9:$F$16,0)</f>
        <v>2</v>
      </c>
    </row>
    <row r="10" spans="1:7" x14ac:dyDescent="0.25">
      <c r="A10" s="16" t="s">
        <v>59</v>
      </c>
      <c r="B10" s="17">
        <v>30000</v>
      </c>
      <c r="C10" s="18">
        <v>3</v>
      </c>
      <c r="D10" s="19">
        <v>0.8</v>
      </c>
      <c r="E10" s="20">
        <v>3</v>
      </c>
      <c r="F10" s="21">
        <f t="shared" si="0"/>
        <v>24000</v>
      </c>
      <c r="G10" s="22">
        <f t="shared" si="1"/>
        <v>4</v>
      </c>
    </row>
    <row r="11" spans="1:7" x14ac:dyDescent="0.25">
      <c r="A11" s="16" t="s">
        <v>60</v>
      </c>
      <c r="B11" s="17">
        <v>18000</v>
      </c>
      <c r="C11" s="18">
        <v>1</v>
      </c>
      <c r="D11" s="19">
        <v>0.5</v>
      </c>
      <c r="E11" s="20">
        <v>4</v>
      </c>
      <c r="F11" s="21">
        <f t="shared" si="0"/>
        <v>2250</v>
      </c>
      <c r="G11" s="22">
        <f t="shared" si="1"/>
        <v>8</v>
      </c>
    </row>
    <row r="12" spans="1:7" x14ac:dyDescent="0.25">
      <c r="A12" s="16" t="s">
        <v>61</v>
      </c>
      <c r="B12" s="17">
        <v>55000</v>
      </c>
      <c r="C12" s="18">
        <v>1</v>
      </c>
      <c r="D12" s="19">
        <v>0.8</v>
      </c>
      <c r="E12" s="20">
        <v>3</v>
      </c>
      <c r="F12" s="21">
        <f t="shared" si="0"/>
        <v>14666.666666666666</v>
      </c>
      <c r="G12" s="22">
        <f t="shared" si="1"/>
        <v>6</v>
      </c>
    </row>
    <row r="13" spans="1:7" x14ac:dyDescent="0.25">
      <c r="A13" s="16" t="s">
        <v>62</v>
      </c>
      <c r="B13" s="17">
        <v>22000</v>
      </c>
      <c r="C13" s="18">
        <v>2</v>
      </c>
      <c r="D13" s="19">
        <v>0.7</v>
      </c>
      <c r="E13" s="20">
        <v>5</v>
      </c>
      <c r="F13" s="21">
        <f t="shared" si="0"/>
        <v>6159.9999999999991</v>
      </c>
      <c r="G13" s="22">
        <f t="shared" si="1"/>
        <v>7</v>
      </c>
    </row>
    <row r="14" spans="1:7" x14ac:dyDescent="0.25">
      <c r="A14" s="16" t="s">
        <v>63</v>
      </c>
      <c r="B14" s="17">
        <v>60000</v>
      </c>
      <c r="C14" s="18">
        <v>2</v>
      </c>
      <c r="D14" s="19">
        <v>0.9</v>
      </c>
      <c r="E14" s="20">
        <v>2</v>
      </c>
      <c r="F14" s="21">
        <f t="shared" si="0"/>
        <v>54000</v>
      </c>
      <c r="G14" s="22">
        <f t="shared" si="1"/>
        <v>1</v>
      </c>
    </row>
    <row r="15" spans="1:7" x14ac:dyDescent="0.25">
      <c r="A15" s="16" t="s">
        <v>64</v>
      </c>
      <c r="B15" s="17">
        <v>48000</v>
      </c>
      <c r="C15" s="18">
        <v>1</v>
      </c>
      <c r="D15" s="19">
        <v>0.8</v>
      </c>
      <c r="E15" s="20">
        <v>1.5</v>
      </c>
      <c r="F15" s="21">
        <f t="shared" si="0"/>
        <v>25600</v>
      </c>
      <c r="G15" s="22">
        <f t="shared" si="1"/>
        <v>3</v>
      </c>
    </row>
    <row r="16" spans="1:7" x14ac:dyDescent="0.25">
      <c r="A16" s="16" t="s">
        <v>65</v>
      </c>
      <c r="B16" s="17">
        <v>35000</v>
      </c>
      <c r="C16" s="18">
        <v>0.5</v>
      </c>
      <c r="D16" s="19">
        <v>1</v>
      </c>
      <c r="E16" s="20">
        <v>1</v>
      </c>
      <c r="F16" s="21">
        <f t="shared" si="0"/>
        <v>17500</v>
      </c>
      <c r="G16" s="22">
        <f t="shared" si="1"/>
        <v>5</v>
      </c>
    </row>
    <row r="38" spans="1:7" ht="15" customHeight="1" x14ac:dyDescent="0.25">
      <c r="A38" s="5" t="s">
        <v>66</v>
      </c>
      <c r="B38" s="5"/>
      <c r="C38" s="5"/>
      <c r="D38" s="5"/>
      <c r="E38" s="5"/>
      <c r="F38" s="5"/>
      <c r="G38" s="5"/>
    </row>
    <row r="39" spans="1:7" ht="15" customHeight="1" x14ac:dyDescent="0.25">
      <c r="A39" s="5"/>
      <c r="B39" s="5"/>
      <c r="C39" s="5"/>
      <c r="D39" s="5"/>
      <c r="E39" s="5"/>
      <c r="F39" s="5"/>
      <c r="G39" s="5"/>
    </row>
  </sheetData>
  <mergeCells count="5">
    <mergeCell ref="A1:G1"/>
    <mergeCell ref="A2:G2"/>
    <mergeCell ref="A3:G5"/>
    <mergeCell ref="A6:G6"/>
    <mergeCell ref="A38:G39"/>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4"/>
  <sheetViews>
    <sheetView showGridLines="0" zoomScaleNormal="100" workbookViewId="0">
      <selection sqref="A1:G1"/>
    </sheetView>
  </sheetViews>
  <sheetFormatPr defaultColWidth="8.7109375" defaultRowHeight="15" x14ac:dyDescent="0.25"/>
  <cols>
    <col min="1" max="1" width="24" customWidth="1"/>
    <col min="2" max="6" width="12" customWidth="1"/>
    <col min="7" max="7" width="14" customWidth="1"/>
  </cols>
  <sheetData>
    <row r="1" spans="1:7" ht="33.75" customHeight="1" x14ac:dyDescent="0.25">
      <c r="A1" s="4" t="s">
        <v>67</v>
      </c>
      <c r="B1" s="4"/>
      <c r="C1" s="4"/>
      <c r="D1" s="4"/>
      <c r="E1" s="4"/>
      <c r="F1" s="4"/>
      <c r="G1" s="4"/>
    </row>
    <row r="2" spans="1:7" ht="30" customHeight="1" x14ac:dyDescent="0.25">
      <c r="A2" s="3" t="s">
        <v>68</v>
      </c>
      <c r="B2" s="3"/>
      <c r="C2" s="3"/>
      <c r="D2" s="3"/>
      <c r="E2" s="3"/>
      <c r="F2" s="3"/>
      <c r="G2" s="3"/>
    </row>
    <row r="3" spans="1:7" ht="15" customHeight="1" x14ac:dyDescent="0.25">
      <c r="A3" s="5" t="s">
        <v>69</v>
      </c>
      <c r="B3" s="5"/>
      <c r="C3" s="5"/>
      <c r="D3" s="5"/>
      <c r="E3" s="5"/>
      <c r="F3" s="5"/>
      <c r="G3" s="5"/>
    </row>
    <row r="4" spans="1:7" ht="15" customHeight="1" x14ac:dyDescent="0.25">
      <c r="A4" s="5"/>
      <c r="B4" s="5"/>
      <c r="C4" s="5"/>
      <c r="D4" s="5"/>
      <c r="E4" s="5"/>
      <c r="F4" s="5"/>
      <c r="G4" s="5"/>
    </row>
    <row r="5" spans="1:7" ht="15" customHeight="1" x14ac:dyDescent="0.25">
      <c r="A5" s="5"/>
      <c r="B5" s="5"/>
      <c r="C5" s="5"/>
      <c r="D5" s="5"/>
      <c r="E5" s="5"/>
      <c r="F5" s="5"/>
      <c r="G5" s="5"/>
    </row>
    <row r="6" spans="1:7" ht="18" customHeight="1" x14ac:dyDescent="0.25">
      <c r="A6" s="2" t="s">
        <v>50</v>
      </c>
      <c r="B6" s="2"/>
      <c r="C6" s="2"/>
      <c r="D6" s="2"/>
      <c r="E6" s="2"/>
      <c r="F6" s="2"/>
      <c r="G6" s="2"/>
    </row>
    <row r="8" spans="1:7" x14ac:dyDescent="0.25">
      <c r="A8" s="23" t="s">
        <v>70</v>
      </c>
      <c r="B8" s="19">
        <v>0.35</v>
      </c>
      <c r="C8" s="19">
        <v>0.3</v>
      </c>
      <c r="D8" s="19">
        <v>0.2</v>
      </c>
      <c r="E8" s="19">
        <v>0.15</v>
      </c>
      <c r="F8" s="24">
        <f>SUM(B8:E8)</f>
        <v>0.99999999999999989</v>
      </c>
      <c r="G8" s="25" t="str">
        <f>IF(F8=1,"OK ✓","FIX: ≠100%")</f>
        <v>OK ✓</v>
      </c>
    </row>
    <row r="9" spans="1:7" ht="30" customHeight="1" x14ac:dyDescent="0.25">
      <c r="A9" s="15" t="s">
        <v>71</v>
      </c>
      <c r="B9" s="15" t="s">
        <v>72</v>
      </c>
      <c r="C9" s="15" t="s">
        <v>73</v>
      </c>
      <c r="D9" s="15" t="s">
        <v>74</v>
      </c>
      <c r="E9" s="15" t="s">
        <v>75</v>
      </c>
      <c r="F9" s="15"/>
      <c r="G9" s="15" t="s">
        <v>76</v>
      </c>
    </row>
    <row r="10" spans="1:7" x14ac:dyDescent="0.25">
      <c r="A10" s="16" t="s">
        <v>77</v>
      </c>
      <c r="B10" s="26">
        <v>4</v>
      </c>
      <c r="C10" s="26">
        <v>5</v>
      </c>
      <c r="D10" s="26">
        <v>3</v>
      </c>
      <c r="E10" s="26">
        <v>3</v>
      </c>
      <c r="F10" s="27"/>
      <c r="G10" s="28">
        <f>SUMPRODUCT(B10:E10,$B$8:$E$8)</f>
        <v>3.95</v>
      </c>
    </row>
    <row r="11" spans="1:7" x14ac:dyDescent="0.25">
      <c r="A11" s="16" t="s">
        <v>78</v>
      </c>
      <c r="B11" s="26">
        <v>5</v>
      </c>
      <c r="C11" s="26">
        <v>3</v>
      </c>
      <c r="D11" s="26">
        <v>2</v>
      </c>
      <c r="E11" s="26">
        <v>4</v>
      </c>
      <c r="F11" s="27"/>
      <c r="G11" s="28">
        <f>SUMPRODUCT(B11:E11,$B$8:$E$8)</f>
        <v>3.65</v>
      </c>
    </row>
    <row r="12" spans="1:7" x14ac:dyDescent="0.25">
      <c r="A12" s="16" t="s">
        <v>79</v>
      </c>
      <c r="B12" s="26">
        <v>3</v>
      </c>
      <c r="C12" s="26">
        <v>4</v>
      </c>
      <c r="D12" s="26">
        <v>4</v>
      </c>
      <c r="E12" s="26">
        <v>3</v>
      </c>
      <c r="F12" s="27"/>
      <c r="G12" s="28">
        <f>SUMPRODUCT(B12:E12,$B$8:$E$8)</f>
        <v>3.5</v>
      </c>
    </row>
    <row r="13" spans="1:7" x14ac:dyDescent="0.25">
      <c r="A13" s="16" t="s">
        <v>80</v>
      </c>
      <c r="B13" s="26">
        <v>4</v>
      </c>
      <c r="C13" s="26">
        <v>4</v>
      </c>
      <c r="D13" s="26">
        <v>5</v>
      </c>
      <c r="E13" s="26">
        <v>4</v>
      </c>
      <c r="F13" s="27"/>
      <c r="G13" s="28">
        <f>SUMPRODUCT(B13:E13,$B$8:$E$8)</f>
        <v>4.1999999999999993</v>
      </c>
    </row>
    <row r="33" spans="1:7" ht="15" customHeight="1" x14ac:dyDescent="0.25">
      <c r="A33" s="5" t="s">
        <v>81</v>
      </c>
      <c r="B33" s="5"/>
      <c r="C33" s="5"/>
      <c r="D33" s="5"/>
      <c r="E33" s="5"/>
      <c r="F33" s="5"/>
      <c r="G33" s="5"/>
    </row>
    <row r="34" spans="1:7" ht="15" customHeight="1" x14ac:dyDescent="0.25">
      <c r="A34" s="5"/>
      <c r="B34" s="5"/>
      <c r="C34" s="5"/>
      <c r="D34" s="5"/>
      <c r="E34" s="5"/>
      <c r="F34" s="5"/>
      <c r="G34" s="5"/>
    </row>
  </sheetData>
  <mergeCells count="5">
    <mergeCell ref="A1:G1"/>
    <mergeCell ref="A2:G2"/>
    <mergeCell ref="A3:G5"/>
    <mergeCell ref="A6:G6"/>
    <mergeCell ref="A33:G34"/>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showGridLines="0" zoomScaleNormal="100" workbookViewId="0">
      <selection sqref="A1:D1"/>
    </sheetView>
  </sheetViews>
  <sheetFormatPr defaultColWidth="8.7109375" defaultRowHeight="15" x14ac:dyDescent="0.25"/>
  <cols>
    <col min="1" max="1" width="24" customWidth="1"/>
    <col min="2" max="3" width="13" customWidth="1"/>
    <col min="4" max="4" width="22" customWidth="1"/>
  </cols>
  <sheetData>
    <row r="1" spans="1:4" ht="33.75" customHeight="1" x14ac:dyDescent="0.25">
      <c r="A1" s="4" t="s">
        <v>82</v>
      </c>
      <c r="B1" s="4"/>
      <c r="C1" s="4"/>
      <c r="D1" s="4"/>
    </row>
    <row r="2" spans="1:4" ht="30" customHeight="1" x14ac:dyDescent="0.25">
      <c r="A2" s="3" t="s">
        <v>83</v>
      </c>
      <c r="B2" s="3"/>
      <c r="C2" s="3"/>
      <c r="D2" s="3"/>
    </row>
    <row r="3" spans="1:4" ht="15" customHeight="1" x14ac:dyDescent="0.25">
      <c r="A3" s="5" t="s">
        <v>84</v>
      </c>
      <c r="B3" s="5"/>
      <c r="C3" s="5"/>
      <c r="D3" s="5"/>
    </row>
    <row r="4" spans="1:4" ht="15" customHeight="1" x14ac:dyDescent="0.25">
      <c r="A4" s="5"/>
      <c r="B4" s="5"/>
      <c r="C4" s="5"/>
      <c r="D4" s="5"/>
    </row>
    <row r="5" spans="1:4" ht="15" customHeight="1" x14ac:dyDescent="0.25">
      <c r="A5" s="5"/>
      <c r="B5" s="5"/>
      <c r="C5" s="5"/>
      <c r="D5" s="5"/>
    </row>
    <row r="6" spans="1:4" ht="18" customHeight="1" x14ac:dyDescent="0.25">
      <c r="A6" s="2" t="s">
        <v>50</v>
      </c>
      <c r="B6" s="2"/>
      <c r="C6" s="2"/>
      <c r="D6" s="2"/>
    </row>
    <row r="8" spans="1:4" ht="30" customHeight="1" x14ac:dyDescent="0.25">
      <c r="A8" s="15" t="s">
        <v>85</v>
      </c>
      <c r="B8" s="15" t="s">
        <v>86</v>
      </c>
      <c r="C8" s="15" t="s">
        <v>87</v>
      </c>
      <c r="D8" s="15" t="s">
        <v>88</v>
      </c>
    </row>
    <row r="9" spans="1:4" x14ac:dyDescent="0.25">
      <c r="A9" s="16" t="s">
        <v>89</v>
      </c>
      <c r="B9" s="26">
        <v>9</v>
      </c>
      <c r="C9" s="26">
        <v>3</v>
      </c>
      <c r="D9" s="22" t="str">
        <f t="shared" ref="D9:D16" si="0">IF(AND(B9&gt;=5,C9&lt;5),"Quick Win",IF(AND(B9&gt;=5,C9&gt;=5),"Big Bet",IF(AND(B9&lt;5,C9&lt;5),"Fill-in","Money Pit")))</f>
        <v>Quick Win</v>
      </c>
    </row>
    <row r="10" spans="1:4" x14ac:dyDescent="0.25">
      <c r="A10" s="16" t="s">
        <v>59</v>
      </c>
      <c r="B10" s="26">
        <v>8</v>
      </c>
      <c r="C10" s="26">
        <v>6</v>
      </c>
      <c r="D10" s="22" t="str">
        <f t="shared" si="0"/>
        <v>Big Bet</v>
      </c>
    </row>
    <row r="11" spans="1:4" x14ac:dyDescent="0.25">
      <c r="A11" s="16" t="s">
        <v>90</v>
      </c>
      <c r="B11" s="26">
        <v>4</v>
      </c>
      <c r="C11" s="26">
        <v>7</v>
      </c>
      <c r="D11" s="22" t="str">
        <f t="shared" si="0"/>
        <v>Money Pit</v>
      </c>
    </row>
    <row r="12" spans="1:4" x14ac:dyDescent="0.25">
      <c r="A12" s="16" t="s">
        <v>65</v>
      </c>
      <c r="B12" s="26">
        <v>3</v>
      </c>
      <c r="C12" s="26">
        <v>2</v>
      </c>
      <c r="D12" s="22" t="str">
        <f t="shared" si="0"/>
        <v>Fill-in</v>
      </c>
    </row>
    <row r="13" spans="1:4" x14ac:dyDescent="0.25">
      <c r="A13" s="16" t="s">
        <v>62</v>
      </c>
      <c r="B13" s="26">
        <v>6</v>
      </c>
      <c r="C13" s="26">
        <v>8</v>
      </c>
      <c r="D13" s="22" t="str">
        <f t="shared" si="0"/>
        <v>Big Bet</v>
      </c>
    </row>
    <row r="14" spans="1:4" x14ac:dyDescent="0.25">
      <c r="A14" s="16" t="s">
        <v>64</v>
      </c>
      <c r="B14" s="26">
        <v>7</v>
      </c>
      <c r="C14" s="26">
        <v>3</v>
      </c>
      <c r="D14" s="22" t="str">
        <f t="shared" si="0"/>
        <v>Quick Win</v>
      </c>
    </row>
    <row r="15" spans="1:4" x14ac:dyDescent="0.25">
      <c r="A15" s="16" t="s">
        <v>61</v>
      </c>
      <c r="B15" s="26">
        <v>6</v>
      </c>
      <c r="C15" s="26">
        <v>4</v>
      </c>
      <c r="D15" s="22" t="str">
        <f t="shared" si="0"/>
        <v>Quick Win</v>
      </c>
    </row>
    <row r="16" spans="1:4" x14ac:dyDescent="0.25">
      <c r="A16" s="16" t="s">
        <v>91</v>
      </c>
      <c r="B16" s="26">
        <v>8</v>
      </c>
      <c r="C16" s="26">
        <v>9</v>
      </c>
      <c r="D16" s="22" t="str">
        <f t="shared" si="0"/>
        <v>Big Bet</v>
      </c>
    </row>
    <row r="19" spans="1:4" ht="15" customHeight="1" x14ac:dyDescent="0.25">
      <c r="A19" s="5" t="s">
        <v>92</v>
      </c>
      <c r="B19" s="5"/>
      <c r="C19" s="5"/>
      <c r="D19" s="5"/>
    </row>
    <row r="20" spans="1:4" ht="15" customHeight="1" x14ac:dyDescent="0.25">
      <c r="A20" s="5"/>
      <c r="B20" s="5"/>
      <c r="C20" s="5"/>
      <c r="D20" s="5"/>
    </row>
  </sheetData>
  <mergeCells count="5">
    <mergeCell ref="A1:D1"/>
    <mergeCell ref="A2:D2"/>
    <mergeCell ref="A3:D5"/>
    <mergeCell ref="A6:D6"/>
    <mergeCell ref="A19:D20"/>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8"/>
  <sheetViews>
    <sheetView showGridLines="0" zoomScaleNormal="100" workbookViewId="0">
      <selection sqref="A1:I1"/>
    </sheetView>
  </sheetViews>
  <sheetFormatPr defaultColWidth="8.7109375" defaultRowHeight="15" x14ac:dyDescent="0.25"/>
  <cols>
    <col min="1" max="1" width="22" customWidth="1"/>
    <col min="2" max="6" width="10" customWidth="1"/>
    <col min="7" max="8" width="13" customWidth="1"/>
    <col min="9" max="9" width="16" customWidth="1"/>
    <col min="11" max="11" width="15" customWidth="1"/>
    <col min="12" max="12" width="13" customWidth="1"/>
  </cols>
  <sheetData>
    <row r="1" spans="1:12" ht="33.75" customHeight="1" x14ac:dyDescent="0.25">
      <c r="A1" s="4" t="s">
        <v>13</v>
      </c>
      <c r="B1" s="4"/>
      <c r="C1" s="4"/>
      <c r="D1" s="4"/>
      <c r="E1" s="4"/>
      <c r="F1" s="4"/>
      <c r="G1" s="4"/>
      <c r="H1" s="4"/>
      <c r="I1" s="4"/>
    </row>
    <row r="2" spans="1:12" ht="30" customHeight="1" x14ac:dyDescent="0.25">
      <c r="A2" s="3" t="s">
        <v>93</v>
      </c>
      <c r="B2" s="3"/>
      <c r="C2" s="3"/>
      <c r="D2" s="3"/>
      <c r="E2" s="3"/>
      <c r="F2" s="3"/>
      <c r="G2" s="3"/>
      <c r="H2" s="3"/>
      <c r="I2" s="3"/>
    </row>
    <row r="3" spans="1:12" ht="15" customHeight="1" x14ac:dyDescent="0.25">
      <c r="A3" s="5" t="s">
        <v>94</v>
      </c>
      <c r="B3" s="5"/>
      <c r="C3" s="5"/>
      <c r="D3" s="5"/>
      <c r="E3" s="5"/>
      <c r="F3" s="5"/>
      <c r="G3" s="5"/>
      <c r="H3" s="5"/>
      <c r="I3" s="5"/>
    </row>
    <row r="4" spans="1:12" ht="15" customHeight="1" x14ac:dyDescent="0.25">
      <c r="A4" s="5"/>
      <c r="B4" s="5"/>
      <c r="C4" s="5"/>
      <c r="D4" s="5"/>
      <c r="E4" s="5"/>
      <c r="F4" s="5"/>
      <c r="G4" s="5"/>
      <c r="H4" s="5"/>
      <c r="I4" s="5"/>
    </row>
    <row r="5" spans="1:12" ht="15" customHeight="1" x14ac:dyDescent="0.25">
      <c r="A5" s="5"/>
      <c r="B5" s="5"/>
      <c r="C5" s="5"/>
      <c r="D5" s="5"/>
      <c r="E5" s="5"/>
      <c r="F5" s="5"/>
      <c r="G5" s="5"/>
      <c r="H5" s="5"/>
      <c r="I5" s="5"/>
    </row>
    <row r="6" spans="1:12" ht="18" customHeight="1" x14ac:dyDescent="0.25">
      <c r="A6" s="2" t="s">
        <v>50</v>
      </c>
      <c r="B6" s="2"/>
      <c r="C6" s="2"/>
      <c r="D6" s="2"/>
      <c r="E6" s="2"/>
      <c r="F6" s="2"/>
      <c r="G6" s="2"/>
      <c r="H6" s="2"/>
      <c r="I6" s="2"/>
    </row>
    <row r="8" spans="1:12" ht="30" customHeight="1" x14ac:dyDescent="0.25">
      <c r="A8" s="15" t="s">
        <v>95</v>
      </c>
      <c r="B8" s="15" t="s">
        <v>96</v>
      </c>
      <c r="C8" s="15" t="s">
        <v>97</v>
      </c>
      <c r="D8" s="15" t="s">
        <v>98</v>
      </c>
      <c r="E8" s="15" t="s">
        <v>99</v>
      </c>
      <c r="F8" s="15" t="s">
        <v>100</v>
      </c>
      <c r="G8" s="15" t="s">
        <v>101</v>
      </c>
      <c r="H8" s="15" t="s">
        <v>102</v>
      </c>
      <c r="I8" s="15" t="s">
        <v>103</v>
      </c>
      <c r="K8" s="15" t="s">
        <v>104</v>
      </c>
      <c r="L8" s="15" t="s">
        <v>105</v>
      </c>
    </row>
    <row r="9" spans="1:12" x14ac:dyDescent="0.25">
      <c r="A9" s="16" t="s">
        <v>89</v>
      </c>
      <c r="B9" s="17">
        <v>30</v>
      </c>
      <c r="C9" s="17">
        <v>45</v>
      </c>
      <c r="D9" s="17">
        <v>20</v>
      </c>
      <c r="E9" s="17">
        <v>5</v>
      </c>
      <c r="F9" s="17">
        <v>0</v>
      </c>
      <c r="G9" s="28">
        <f t="shared" ref="G9:G14" si="0">(B9+C9)/(B9+C9+D9+E9+F9)</f>
        <v>0.75</v>
      </c>
      <c r="H9" s="28">
        <f t="shared" ref="H9:H14" si="1">-(C9+D9)/(B9+C9+D9+E9+F9)</f>
        <v>-0.65</v>
      </c>
      <c r="I9" s="22" t="str">
        <f t="shared" ref="I9:I14" si="2">IF(MAX(B9:E9)=B9,"Delighter",IF(MAX(B9:E9)=C9,"Performance",IF(MAX(B9:E9)=D9,"Must-be","Indifferent")))</f>
        <v>Performance</v>
      </c>
      <c r="K9" s="29">
        <f t="shared" ref="K9:K14" si="3">ABS(H9)</f>
        <v>0.65</v>
      </c>
      <c r="L9" s="29">
        <f t="shared" ref="L9:L14" si="4">G9</f>
        <v>0.75</v>
      </c>
    </row>
    <row r="10" spans="1:12" x14ac:dyDescent="0.25">
      <c r="A10" s="16" t="s">
        <v>59</v>
      </c>
      <c r="B10" s="17">
        <v>15</v>
      </c>
      <c r="C10" s="17">
        <v>40</v>
      </c>
      <c r="D10" s="17">
        <v>40</v>
      </c>
      <c r="E10" s="17">
        <v>5</v>
      </c>
      <c r="F10" s="17">
        <v>0</v>
      </c>
      <c r="G10" s="28">
        <f t="shared" si="0"/>
        <v>0.55000000000000004</v>
      </c>
      <c r="H10" s="28">
        <f t="shared" si="1"/>
        <v>-0.8</v>
      </c>
      <c r="I10" s="22" t="str">
        <f t="shared" si="2"/>
        <v>Performance</v>
      </c>
      <c r="K10" s="29">
        <f t="shared" si="3"/>
        <v>0.8</v>
      </c>
      <c r="L10" s="29">
        <f t="shared" si="4"/>
        <v>0.55000000000000004</v>
      </c>
    </row>
    <row r="11" spans="1:12" x14ac:dyDescent="0.25">
      <c r="A11" s="16" t="s">
        <v>106</v>
      </c>
      <c r="B11" s="17">
        <v>50</v>
      </c>
      <c r="C11" s="17">
        <v>20</v>
      </c>
      <c r="D11" s="17">
        <v>5</v>
      </c>
      <c r="E11" s="17">
        <v>25</v>
      </c>
      <c r="F11" s="17">
        <v>0</v>
      </c>
      <c r="G11" s="28">
        <f t="shared" si="0"/>
        <v>0.7</v>
      </c>
      <c r="H11" s="28">
        <f t="shared" si="1"/>
        <v>-0.25</v>
      </c>
      <c r="I11" s="22" t="str">
        <f t="shared" si="2"/>
        <v>Delighter</v>
      </c>
      <c r="K11" s="29">
        <f t="shared" si="3"/>
        <v>0.25</v>
      </c>
      <c r="L11" s="29">
        <f t="shared" si="4"/>
        <v>0.7</v>
      </c>
    </row>
    <row r="12" spans="1:12" x14ac:dyDescent="0.25">
      <c r="A12" s="16" t="s">
        <v>61</v>
      </c>
      <c r="B12" s="17">
        <v>55</v>
      </c>
      <c r="C12" s="17">
        <v>25</v>
      </c>
      <c r="D12" s="17">
        <v>5</v>
      </c>
      <c r="E12" s="17">
        <v>15</v>
      </c>
      <c r="F12" s="17">
        <v>0</v>
      </c>
      <c r="G12" s="28">
        <f t="shared" si="0"/>
        <v>0.8</v>
      </c>
      <c r="H12" s="28">
        <f t="shared" si="1"/>
        <v>-0.3</v>
      </c>
      <c r="I12" s="22" t="str">
        <f t="shared" si="2"/>
        <v>Delighter</v>
      </c>
      <c r="K12" s="29">
        <f t="shared" si="3"/>
        <v>0.3</v>
      </c>
      <c r="L12" s="29">
        <f t="shared" si="4"/>
        <v>0.8</v>
      </c>
    </row>
    <row r="13" spans="1:12" x14ac:dyDescent="0.25">
      <c r="A13" s="16" t="s">
        <v>65</v>
      </c>
      <c r="B13" s="17">
        <v>20</v>
      </c>
      <c r="C13" s="17">
        <v>10</v>
      </c>
      <c r="D13" s="17">
        <v>5</v>
      </c>
      <c r="E13" s="17">
        <v>60</v>
      </c>
      <c r="F13" s="17">
        <v>5</v>
      </c>
      <c r="G13" s="28">
        <f t="shared" si="0"/>
        <v>0.3</v>
      </c>
      <c r="H13" s="28">
        <f t="shared" si="1"/>
        <v>-0.15</v>
      </c>
      <c r="I13" s="22" t="str">
        <f t="shared" si="2"/>
        <v>Indifferent</v>
      </c>
      <c r="K13" s="29">
        <f t="shared" si="3"/>
        <v>0.15</v>
      </c>
      <c r="L13" s="29">
        <f t="shared" si="4"/>
        <v>0.3</v>
      </c>
    </row>
    <row r="14" spans="1:12" x14ac:dyDescent="0.25">
      <c r="A14" s="16" t="s">
        <v>107</v>
      </c>
      <c r="B14" s="17">
        <v>5</v>
      </c>
      <c r="C14" s="17">
        <v>35</v>
      </c>
      <c r="D14" s="17">
        <v>55</v>
      </c>
      <c r="E14" s="17">
        <v>5</v>
      </c>
      <c r="F14" s="17">
        <v>0</v>
      </c>
      <c r="G14" s="28">
        <f t="shared" si="0"/>
        <v>0.4</v>
      </c>
      <c r="H14" s="28">
        <f t="shared" si="1"/>
        <v>-0.9</v>
      </c>
      <c r="I14" s="22" t="str">
        <f t="shared" si="2"/>
        <v>Must-be</v>
      </c>
      <c r="K14" s="29">
        <f t="shared" si="3"/>
        <v>0.9</v>
      </c>
      <c r="L14" s="29">
        <f t="shared" si="4"/>
        <v>0.4</v>
      </c>
    </row>
    <row r="27" spans="1:9" ht="15" customHeight="1" x14ac:dyDescent="0.25">
      <c r="A27" s="5" t="s">
        <v>108</v>
      </c>
      <c r="B27" s="5"/>
      <c r="C27" s="5"/>
      <c r="D27" s="5"/>
      <c r="E27" s="5"/>
      <c r="F27" s="5"/>
      <c r="G27" s="5"/>
      <c r="H27" s="5"/>
      <c r="I27" s="5"/>
    </row>
    <row r="28" spans="1:9" ht="15" customHeight="1" x14ac:dyDescent="0.25">
      <c r="A28" s="5"/>
      <c r="B28" s="5"/>
      <c r="C28" s="5"/>
      <c r="D28" s="5"/>
      <c r="E28" s="5"/>
      <c r="F28" s="5"/>
      <c r="G28" s="5"/>
      <c r="H28" s="5"/>
      <c r="I28" s="5"/>
    </row>
  </sheetData>
  <mergeCells count="5">
    <mergeCell ref="A1:I1"/>
    <mergeCell ref="A2:I2"/>
    <mergeCell ref="A3:I5"/>
    <mergeCell ref="A6:I6"/>
    <mergeCell ref="A27:I28"/>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4"/>
  <sheetViews>
    <sheetView showGridLines="0" zoomScaleNormal="100" workbookViewId="0">
      <selection sqref="A1:H1"/>
    </sheetView>
  </sheetViews>
  <sheetFormatPr defaultColWidth="8.7109375" defaultRowHeight="15" x14ac:dyDescent="0.25"/>
  <cols>
    <col min="1" max="1" width="22" customWidth="1"/>
    <col min="2" max="3" width="13" customWidth="1"/>
    <col min="4" max="4" width="15" customWidth="1"/>
    <col min="5" max="5" width="12" customWidth="1"/>
    <col min="6" max="6" width="14" customWidth="1"/>
    <col min="7" max="7" width="12" customWidth="1"/>
    <col min="8" max="8" width="8" customWidth="1"/>
  </cols>
  <sheetData>
    <row r="1" spans="1:8" ht="33.75" customHeight="1" x14ac:dyDescent="0.25">
      <c r="A1" s="4" t="s">
        <v>109</v>
      </c>
      <c r="B1" s="4"/>
      <c r="C1" s="4"/>
      <c r="D1" s="4"/>
      <c r="E1" s="4"/>
      <c r="F1" s="4"/>
      <c r="G1" s="4"/>
      <c r="H1" s="4"/>
    </row>
    <row r="2" spans="1:8" ht="30" customHeight="1" x14ac:dyDescent="0.25">
      <c r="A2" s="3" t="s">
        <v>110</v>
      </c>
      <c r="B2" s="3"/>
      <c r="C2" s="3"/>
      <c r="D2" s="3"/>
      <c r="E2" s="3"/>
      <c r="F2" s="3"/>
      <c r="G2" s="3"/>
      <c r="H2" s="3"/>
    </row>
    <row r="3" spans="1:8" ht="15" customHeight="1" x14ac:dyDescent="0.25">
      <c r="A3" s="5" t="s">
        <v>111</v>
      </c>
      <c r="B3" s="5"/>
      <c r="C3" s="5"/>
      <c r="D3" s="5"/>
      <c r="E3" s="5"/>
      <c r="F3" s="5"/>
      <c r="G3" s="5"/>
      <c r="H3" s="5"/>
    </row>
    <row r="4" spans="1:8" ht="15" customHeight="1" x14ac:dyDescent="0.25">
      <c r="A4" s="5"/>
      <c r="B4" s="5"/>
      <c r="C4" s="5"/>
      <c r="D4" s="5"/>
      <c r="E4" s="5"/>
      <c r="F4" s="5"/>
      <c r="G4" s="5"/>
      <c r="H4" s="5"/>
    </row>
    <row r="5" spans="1:8" ht="15" customHeight="1" x14ac:dyDescent="0.25">
      <c r="A5" s="5"/>
      <c r="B5" s="5"/>
      <c r="C5" s="5"/>
      <c r="D5" s="5"/>
      <c r="E5" s="5"/>
      <c r="F5" s="5"/>
      <c r="G5" s="5"/>
      <c r="H5" s="5"/>
    </row>
    <row r="6" spans="1:8" ht="18" customHeight="1" x14ac:dyDescent="0.25">
      <c r="A6" s="2" t="s">
        <v>50</v>
      </c>
      <c r="B6" s="2"/>
      <c r="C6" s="2"/>
      <c r="D6" s="2"/>
      <c r="E6" s="2"/>
      <c r="F6" s="2"/>
      <c r="G6" s="2"/>
      <c r="H6" s="2"/>
    </row>
    <row r="8" spans="1:8" ht="30" customHeight="1" x14ac:dyDescent="0.25">
      <c r="A8" s="15" t="s">
        <v>95</v>
      </c>
      <c r="B8" s="15" t="s">
        <v>112</v>
      </c>
      <c r="C8" s="15" t="s">
        <v>113</v>
      </c>
      <c r="D8" s="15" t="s">
        <v>114</v>
      </c>
      <c r="E8" s="15" t="s">
        <v>115</v>
      </c>
      <c r="F8" s="15" t="s">
        <v>116</v>
      </c>
      <c r="G8" s="15" t="s">
        <v>15</v>
      </c>
      <c r="H8" s="15" t="s">
        <v>57</v>
      </c>
    </row>
    <row r="9" spans="1:8" x14ac:dyDescent="0.25">
      <c r="A9" s="16" t="s">
        <v>89</v>
      </c>
      <c r="B9" s="26">
        <v>8</v>
      </c>
      <c r="C9" s="26">
        <v>7</v>
      </c>
      <c r="D9" s="26">
        <v>5</v>
      </c>
      <c r="E9" s="30">
        <f t="shared" ref="E9:E14" si="0">B9+C9+D9</f>
        <v>20</v>
      </c>
      <c r="F9" s="26">
        <v>3</v>
      </c>
      <c r="G9" s="28">
        <f t="shared" ref="G9:G14" si="1">E9/F9</f>
        <v>6.666666666666667</v>
      </c>
      <c r="H9" s="22">
        <f t="shared" ref="H9:H14" si="2">RANK(G9,$G$9:$G$14,0)</f>
        <v>2</v>
      </c>
    </row>
    <row r="10" spans="1:8" x14ac:dyDescent="0.25">
      <c r="A10" s="16" t="s">
        <v>59</v>
      </c>
      <c r="B10" s="26">
        <v>9</v>
      </c>
      <c r="C10" s="26">
        <v>8</v>
      </c>
      <c r="D10" s="26">
        <v>6</v>
      </c>
      <c r="E10" s="30">
        <f t="shared" si="0"/>
        <v>23</v>
      </c>
      <c r="F10" s="26">
        <v>5</v>
      </c>
      <c r="G10" s="28">
        <f t="shared" si="1"/>
        <v>4.5999999999999996</v>
      </c>
      <c r="H10" s="22">
        <f t="shared" si="2"/>
        <v>4</v>
      </c>
    </row>
    <row r="11" spans="1:8" x14ac:dyDescent="0.25">
      <c r="A11" s="16" t="s">
        <v>90</v>
      </c>
      <c r="B11" s="26">
        <v>4</v>
      </c>
      <c r="C11" s="26">
        <v>3</v>
      </c>
      <c r="D11" s="26">
        <v>4</v>
      </c>
      <c r="E11" s="30">
        <f t="shared" si="0"/>
        <v>11</v>
      </c>
      <c r="F11" s="26">
        <v>4</v>
      </c>
      <c r="G11" s="28">
        <f t="shared" si="1"/>
        <v>2.75</v>
      </c>
      <c r="H11" s="22">
        <f t="shared" si="2"/>
        <v>5</v>
      </c>
    </row>
    <row r="12" spans="1:8" x14ac:dyDescent="0.25">
      <c r="A12" s="16" t="s">
        <v>61</v>
      </c>
      <c r="B12" s="26">
        <v>7</v>
      </c>
      <c r="C12" s="26">
        <v>5</v>
      </c>
      <c r="D12" s="26">
        <v>4</v>
      </c>
      <c r="E12" s="30">
        <f t="shared" si="0"/>
        <v>16</v>
      </c>
      <c r="F12" s="26">
        <v>3</v>
      </c>
      <c r="G12" s="28">
        <f t="shared" si="1"/>
        <v>5.333333333333333</v>
      </c>
      <c r="H12" s="22">
        <f t="shared" si="2"/>
        <v>3</v>
      </c>
    </row>
    <row r="13" spans="1:8" x14ac:dyDescent="0.25">
      <c r="A13" s="16" t="s">
        <v>62</v>
      </c>
      <c r="B13" s="26">
        <v>5</v>
      </c>
      <c r="C13" s="26">
        <v>4</v>
      </c>
      <c r="D13" s="26">
        <v>6</v>
      </c>
      <c r="E13" s="30">
        <f t="shared" si="0"/>
        <v>15</v>
      </c>
      <c r="F13" s="26">
        <v>6</v>
      </c>
      <c r="G13" s="28">
        <f t="shared" si="1"/>
        <v>2.5</v>
      </c>
      <c r="H13" s="22">
        <f t="shared" si="2"/>
        <v>6</v>
      </c>
    </row>
    <row r="14" spans="1:8" x14ac:dyDescent="0.25">
      <c r="A14" s="16" t="s">
        <v>64</v>
      </c>
      <c r="B14" s="26">
        <v>8</v>
      </c>
      <c r="C14" s="26">
        <v>6</v>
      </c>
      <c r="D14" s="26">
        <v>5</v>
      </c>
      <c r="E14" s="30">
        <f t="shared" si="0"/>
        <v>19</v>
      </c>
      <c r="F14" s="26">
        <v>2</v>
      </c>
      <c r="G14" s="28">
        <f t="shared" si="1"/>
        <v>9.5</v>
      </c>
      <c r="H14" s="22">
        <f t="shared" si="2"/>
        <v>1</v>
      </c>
    </row>
    <row r="33" spans="1:8" ht="15" customHeight="1" x14ac:dyDescent="0.25">
      <c r="A33" s="5" t="s">
        <v>117</v>
      </c>
      <c r="B33" s="5"/>
      <c r="C33" s="5"/>
      <c r="D33" s="5"/>
      <c r="E33" s="5"/>
      <c r="F33" s="5"/>
      <c r="G33" s="5"/>
      <c r="H33" s="5"/>
    </row>
    <row r="34" spans="1:8" ht="15" customHeight="1" x14ac:dyDescent="0.25">
      <c r="A34" s="5"/>
      <c r="B34" s="5"/>
      <c r="C34" s="5"/>
      <c r="D34" s="5"/>
      <c r="E34" s="5"/>
      <c r="F34" s="5"/>
      <c r="G34" s="5"/>
      <c r="H34" s="5"/>
    </row>
  </sheetData>
  <mergeCells count="5">
    <mergeCell ref="A1:H1"/>
    <mergeCell ref="A2:H2"/>
    <mergeCell ref="A3:H5"/>
    <mergeCell ref="A6:H6"/>
    <mergeCell ref="A33:H34"/>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1"/>
  <sheetViews>
    <sheetView showGridLines="0" zoomScaleNormal="100" workbookViewId="0">
      <selection sqref="A1:F1"/>
    </sheetView>
  </sheetViews>
  <sheetFormatPr defaultColWidth="8.7109375" defaultRowHeight="15" x14ac:dyDescent="0.25"/>
  <cols>
    <col min="1" max="1" width="26" customWidth="1"/>
    <col min="2" max="2" width="16" customWidth="1"/>
    <col min="3" max="3" width="13" customWidth="1"/>
    <col min="4" max="4" width="2" customWidth="1"/>
    <col min="5" max="5" width="16" customWidth="1"/>
    <col min="6" max="6" width="12" customWidth="1"/>
  </cols>
  <sheetData>
    <row r="1" spans="1:7" ht="33.75" customHeight="1" x14ac:dyDescent="0.25">
      <c r="A1" s="4" t="s">
        <v>17</v>
      </c>
      <c r="B1" s="4"/>
      <c r="C1" s="4"/>
      <c r="D1" s="4"/>
      <c r="E1" s="4"/>
      <c r="F1" s="4"/>
    </row>
    <row r="2" spans="1:7" ht="30" customHeight="1" x14ac:dyDescent="0.25">
      <c r="A2" s="3" t="s">
        <v>118</v>
      </c>
      <c r="B2" s="3"/>
      <c r="C2" s="3"/>
      <c r="D2" s="3"/>
      <c r="E2" s="3"/>
      <c r="F2" s="3"/>
    </row>
    <row r="3" spans="1:7" ht="15" customHeight="1" x14ac:dyDescent="0.25">
      <c r="A3" s="5" t="s">
        <v>119</v>
      </c>
      <c r="B3" s="5"/>
      <c r="C3" s="5"/>
      <c r="D3" s="5"/>
      <c r="E3" s="5"/>
      <c r="F3" s="5"/>
    </row>
    <row r="4" spans="1:7" ht="15" customHeight="1" x14ac:dyDescent="0.25">
      <c r="A4" s="5"/>
      <c r="B4" s="5"/>
      <c r="C4" s="5"/>
      <c r="D4" s="5"/>
      <c r="E4" s="5"/>
      <c r="F4" s="5"/>
    </row>
    <row r="5" spans="1:7" ht="15" customHeight="1" x14ac:dyDescent="0.25">
      <c r="A5" s="5"/>
      <c r="B5" s="5"/>
      <c r="C5" s="5"/>
      <c r="D5" s="5"/>
      <c r="E5" s="5"/>
      <c r="F5" s="5"/>
    </row>
    <row r="6" spans="1:7" ht="18" customHeight="1" x14ac:dyDescent="0.25">
      <c r="A6" s="2" t="s">
        <v>50</v>
      </c>
      <c r="B6" s="2"/>
      <c r="C6" s="2"/>
      <c r="D6" s="2"/>
      <c r="E6" s="2"/>
      <c r="F6" s="2"/>
    </row>
    <row r="8" spans="1:7" ht="30" customHeight="1" x14ac:dyDescent="0.25">
      <c r="A8" s="15" t="s">
        <v>85</v>
      </c>
      <c r="B8" s="15" t="s">
        <v>120</v>
      </c>
      <c r="C8" s="15" t="s">
        <v>121</v>
      </c>
      <c r="E8" s="15" t="s">
        <v>122</v>
      </c>
      <c r="F8" s="15" t="s">
        <v>123</v>
      </c>
      <c r="G8" s="15" t="s">
        <v>121</v>
      </c>
    </row>
    <row r="9" spans="1:7" x14ac:dyDescent="0.25">
      <c r="A9" s="16" t="s">
        <v>124</v>
      </c>
      <c r="B9" s="31" t="s">
        <v>125</v>
      </c>
      <c r="C9" s="17">
        <v>6</v>
      </c>
      <c r="E9" s="32" t="s">
        <v>126</v>
      </c>
      <c r="F9" s="33">
        <f>COUNTIF($B$9:$B$17,"M")</f>
        <v>3</v>
      </c>
      <c r="G9" s="33">
        <f>SUMIF($B$9:$B$17,"M",$C$9:$C$17)</f>
        <v>15</v>
      </c>
    </row>
    <row r="10" spans="1:7" x14ac:dyDescent="0.25">
      <c r="A10" s="16" t="s">
        <v>127</v>
      </c>
      <c r="B10" s="31" t="s">
        <v>125</v>
      </c>
      <c r="C10" s="17">
        <v>5</v>
      </c>
      <c r="E10" s="32" t="s">
        <v>128</v>
      </c>
      <c r="F10" s="33">
        <f>COUNTIF($B$9:$B$17,"S")</f>
        <v>3</v>
      </c>
      <c r="G10" s="33">
        <f>SUMIF($B$9:$B$17,"S",$C$9:$C$17)</f>
        <v>11</v>
      </c>
    </row>
    <row r="11" spans="1:7" x14ac:dyDescent="0.25">
      <c r="A11" s="16" t="s">
        <v>129</v>
      </c>
      <c r="B11" s="31" t="s">
        <v>125</v>
      </c>
      <c r="C11" s="17">
        <v>4</v>
      </c>
      <c r="E11" s="32" t="s">
        <v>130</v>
      </c>
      <c r="F11" s="33">
        <f>COUNTIF($B$9:$B$17,"C")</f>
        <v>2</v>
      </c>
      <c r="G11" s="33">
        <f>SUMIF($B$9:$B$17,"C",$C$9:$C$17)</f>
        <v>6</v>
      </c>
    </row>
    <row r="12" spans="1:7" x14ac:dyDescent="0.25">
      <c r="A12" s="16" t="s">
        <v>61</v>
      </c>
      <c r="B12" s="31" t="s">
        <v>131</v>
      </c>
      <c r="C12" s="17">
        <v>3</v>
      </c>
      <c r="E12" s="32" t="s">
        <v>132</v>
      </c>
      <c r="F12" s="33">
        <f>COUNTIF($B$9:$B$17,"W")</f>
        <v>1</v>
      </c>
      <c r="G12" s="33">
        <f>SUMIF($B$9:$B$17,"W",$C$9:$C$17)</f>
        <v>8</v>
      </c>
    </row>
    <row r="13" spans="1:7" x14ac:dyDescent="0.25">
      <c r="A13" s="16" t="s">
        <v>64</v>
      </c>
      <c r="B13" s="31" t="s">
        <v>131</v>
      </c>
      <c r="C13" s="17">
        <v>3</v>
      </c>
      <c r="E13" s="32" t="s">
        <v>133</v>
      </c>
      <c r="G13" s="21">
        <f>SUM(G9:G12)</f>
        <v>40</v>
      </c>
    </row>
    <row r="14" spans="1:7" ht="25.5" x14ac:dyDescent="0.25">
      <c r="A14" s="16" t="s">
        <v>65</v>
      </c>
      <c r="B14" s="31" t="s">
        <v>134</v>
      </c>
      <c r="C14" s="17">
        <v>2</v>
      </c>
      <c r="E14" s="32" t="s">
        <v>135</v>
      </c>
      <c r="G14" s="24">
        <f>G9/G13</f>
        <v>0.375</v>
      </c>
    </row>
    <row r="15" spans="1:7" x14ac:dyDescent="0.25">
      <c r="A15" s="16" t="s">
        <v>90</v>
      </c>
      <c r="B15" s="31" t="s">
        <v>134</v>
      </c>
      <c r="C15" s="17">
        <v>4</v>
      </c>
    </row>
    <row r="16" spans="1:7" x14ac:dyDescent="0.25">
      <c r="A16" s="16" t="s">
        <v>136</v>
      </c>
      <c r="B16" s="31" t="s">
        <v>137</v>
      </c>
      <c r="C16" s="17">
        <v>8</v>
      </c>
    </row>
    <row r="17" spans="1:6" x14ac:dyDescent="0.25">
      <c r="A17" s="16" t="s">
        <v>62</v>
      </c>
      <c r="B17" s="31" t="s">
        <v>131</v>
      </c>
      <c r="C17" s="17">
        <v>5</v>
      </c>
    </row>
    <row r="20" spans="1:6" ht="15" customHeight="1" x14ac:dyDescent="0.25">
      <c r="A20" s="5" t="s">
        <v>138</v>
      </c>
      <c r="B20" s="5"/>
      <c r="C20" s="5"/>
      <c r="D20" s="5"/>
      <c r="E20" s="5"/>
      <c r="F20" s="5"/>
    </row>
    <row r="21" spans="1:6" ht="15" customHeight="1" x14ac:dyDescent="0.25">
      <c r="A21" s="5"/>
      <c r="B21" s="5"/>
      <c r="C21" s="5"/>
      <c r="D21" s="5"/>
      <c r="E21" s="5"/>
      <c r="F21" s="5"/>
    </row>
  </sheetData>
  <mergeCells count="5">
    <mergeCell ref="A1:F1"/>
    <mergeCell ref="A2:F2"/>
    <mergeCell ref="A3:F5"/>
    <mergeCell ref="A6:F6"/>
    <mergeCell ref="A20:F21"/>
  </mergeCells>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5"/>
  <sheetViews>
    <sheetView showGridLines="0" zoomScaleNormal="100" workbookViewId="0">
      <selection sqref="A1:E1"/>
    </sheetView>
  </sheetViews>
  <sheetFormatPr defaultColWidth="8.7109375" defaultRowHeight="15" x14ac:dyDescent="0.25"/>
  <cols>
    <col min="1" max="1" width="30" customWidth="1"/>
    <col min="2" max="3" width="15" customWidth="1"/>
    <col min="4" max="4" width="16" customWidth="1"/>
    <col min="5" max="5" width="9" customWidth="1"/>
  </cols>
  <sheetData>
    <row r="1" spans="1:5" ht="33.75" customHeight="1" x14ac:dyDescent="0.25">
      <c r="A1" s="4" t="s">
        <v>139</v>
      </c>
      <c r="B1" s="4"/>
      <c r="C1" s="4"/>
      <c r="D1" s="4"/>
      <c r="E1" s="4"/>
    </row>
    <row r="2" spans="1:5" ht="30" customHeight="1" x14ac:dyDescent="0.25">
      <c r="A2" s="3" t="s">
        <v>140</v>
      </c>
      <c r="B2" s="3"/>
      <c r="C2" s="3"/>
      <c r="D2" s="3"/>
      <c r="E2" s="3"/>
    </row>
    <row r="3" spans="1:5" ht="15" customHeight="1" x14ac:dyDescent="0.25">
      <c r="A3" s="5" t="s">
        <v>141</v>
      </c>
      <c r="B3" s="5"/>
      <c r="C3" s="5"/>
      <c r="D3" s="5"/>
      <c r="E3" s="5"/>
    </row>
    <row r="4" spans="1:5" ht="15" customHeight="1" x14ac:dyDescent="0.25">
      <c r="A4" s="5"/>
      <c r="B4" s="5"/>
      <c r="C4" s="5"/>
      <c r="D4" s="5"/>
      <c r="E4" s="5"/>
    </row>
    <row r="5" spans="1:5" ht="15" customHeight="1" x14ac:dyDescent="0.25">
      <c r="A5" s="5"/>
      <c r="B5" s="5"/>
      <c r="C5" s="5"/>
      <c r="D5" s="5"/>
      <c r="E5" s="5"/>
    </row>
    <row r="6" spans="1:5" ht="18" customHeight="1" x14ac:dyDescent="0.25">
      <c r="A6" s="2" t="s">
        <v>50</v>
      </c>
      <c r="B6" s="2"/>
      <c r="C6" s="2"/>
      <c r="D6" s="2"/>
      <c r="E6" s="2"/>
    </row>
    <row r="8" spans="1:5" ht="30" customHeight="1" x14ac:dyDescent="0.25">
      <c r="A8" s="15" t="s">
        <v>142</v>
      </c>
      <c r="B8" s="15" t="s">
        <v>143</v>
      </c>
      <c r="C8" s="15" t="s">
        <v>144</v>
      </c>
      <c r="D8" s="15" t="s">
        <v>145</v>
      </c>
      <c r="E8" s="15" t="s">
        <v>57</v>
      </c>
    </row>
    <row r="9" spans="1:5" x14ac:dyDescent="0.25">
      <c r="A9" s="16" t="s">
        <v>146</v>
      </c>
      <c r="B9" s="26">
        <v>9</v>
      </c>
      <c r="C9" s="26">
        <v>6</v>
      </c>
      <c r="D9" s="28">
        <f t="shared" ref="D9:D14" si="0">B9+MAX(B9-C9,0)</f>
        <v>12</v>
      </c>
      <c r="E9" s="22">
        <f t="shared" ref="E9:E14" si="1">RANK(D9,$D$9:$D$14,0)</f>
        <v>3</v>
      </c>
    </row>
    <row r="10" spans="1:5" x14ac:dyDescent="0.25">
      <c r="A10" s="16" t="s">
        <v>147</v>
      </c>
      <c r="B10" s="26">
        <v>9</v>
      </c>
      <c r="C10" s="26">
        <v>4</v>
      </c>
      <c r="D10" s="28">
        <f t="shared" si="0"/>
        <v>14</v>
      </c>
      <c r="E10" s="22">
        <f t="shared" si="1"/>
        <v>1</v>
      </c>
    </row>
    <row r="11" spans="1:5" x14ac:dyDescent="0.25">
      <c r="A11" s="16" t="s">
        <v>148</v>
      </c>
      <c r="B11" s="26">
        <v>8</v>
      </c>
      <c r="C11" s="26">
        <v>7</v>
      </c>
      <c r="D11" s="28">
        <f t="shared" si="0"/>
        <v>9</v>
      </c>
      <c r="E11" s="22">
        <f t="shared" si="1"/>
        <v>5</v>
      </c>
    </row>
    <row r="12" spans="1:5" x14ac:dyDescent="0.25">
      <c r="A12" s="16" t="s">
        <v>149</v>
      </c>
      <c r="B12" s="26">
        <v>7</v>
      </c>
      <c r="C12" s="26">
        <v>3</v>
      </c>
      <c r="D12" s="28">
        <f t="shared" si="0"/>
        <v>11</v>
      </c>
      <c r="E12" s="22">
        <f t="shared" si="1"/>
        <v>4</v>
      </c>
    </row>
    <row r="13" spans="1:5" x14ac:dyDescent="0.25">
      <c r="A13" s="16" t="s">
        <v>150</v>
      </c>
      <c r="B13" s="26">
        <v>8</v>
      </c>
      <c r="C13" s="26">
        <v>8</v>
      </c>
      <c r="D13" s="28">
        <f t="shared" si="0"/>
        <v>8</v>
      </c>
      <c r="E13" s="22">
        <f t="shared" si="1"/>
        <v>6</v>
      </c>
    </row>
    <row r="14" spans="1:5" x14ac:dyDescent="0.25">
      <c r="A14" s="16" t="s">
        <v>151</v>
      </c>
      <c r="B14" s="26">
        <v>8</v>
      </c>
      <c r="C14" s="26">
        <v>3</v>
      </c>
      <c r="D14" s="28">
        <f t="shared" si="0"/>
        <v>13</v>
      </c>
      <c r="E14" s="22">
        <f t="shared" si="1"/>
        <v>2</v>
      </c>
    </row>
    <row r="34" spans="1:5" ht="15" customHeight="1" x14ac:dyDescent="0.25">
      <c r="A34" s="5" t="s">
        <v>152</v>
      </c>
      <c r="B34" s="5"/>
      <c r="C34" s="5"/>
      <c r="D34" s="5"/>
      <c r="E34" s="5"/>
    </row>
    <row r="35" spans="1:5" ht="15" customHeight="1" x14ac:dyDescent="0.25">
      <c r="A35" s="5"/>
      <c r="B35" s="5"/>
      <c r="C35" s="5"/>
      <c r="D35" s="5"/>
      <c r="E35" s="5"/>
    </row>
  </sheetData>
  <mergeCells count="5">
    <mergeCell ref="A1:E1"/>
    <mergeCell ref="A2:E2"/>
    <mergeCell ref="A3:E5"/>
    <mergeCell ref="A6:E6"/>
    <mergeCell ref="A34:E35"/>
  </mergeCells>
  <pageMargins left="0.75" right="0.75" top="1" bottom="1"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8"/>
  <sheetViews>
    <sheetView showGridLines="0" zoomScaleNormal="100" workbookViewId="0">
      <selection sqref="A1:E1"/>
    </sheetView>
  </sheetViews>
  <sheetFormatPr defaultColWidth="8.7109375" defaultRowHeight="15" x14ac:dyDescent="0.25"/>
  <cols>
    <col min="1" max="1" width="22" customWidth="1"/>
    <col min="2" max="2" width="16" customWidth="1"/>
    <col min="3" max="3" width="20" customWidth="1"/>
    <col min="4" max="4" width="14" customWidth="1"/>
    <col min="5" max="5" width="16" customWidth="1"/>
  </cols>
  <sheetData>
    <row r="1" spans="1:5" ht="33.75" customHeight="1" x14ac:dyDescent="0.25">
      <c r="A1" s="4" t="s">
        <v>153</v>
      </c>
      <c r="B1" s="4"/>
      <c r="C1" s="4"/>
      <c r="D1" s="4"/>
      <c r="E1" s="4"/>
    </row>
    <row r="2" spans="1:5" ht="30" customHeight="1" x14ac:dyDescent="0.25">
      <c r="A2" s="3" t="s">
        <v>154</v>
      </c>
      <c r="B2" s="3"/>
      <c r="C2" s="3"/>
      <c r="D2" s="3"/>
      <c r="E2" s="3"/>
    </row>
    <row r="3" spans="1:5" ht="15" customHeight="1" x14ac:dyDescent="0.25">
      <c r="A3" s="5" t="s">
        <v>155</v>
      </c>
      <c r="B3" s="5"/>
      <c r="C3" s="5"/>
      <c r="D3" s="5"/>
      <c r="E3" s="5"/>
    </row>
    <row r="4" spans="1:5" ht="15" customHeight="1" x14ac:dyDescent="0.25">
      <c r="A4" s="5"/>
      <c r="B4" s="5"/>
      <c r="C4" s="5"/>
      <c r="D4" s="5"/>
      <c r="E4" s="5"/>
    </row>
    <row r="5" spans="1:5" ht="15" customHeight="1" x14ac:dyDescent="0.25">
      <c r="A5" s="5"/>
      <c r="B5" s="5"/>
      <c r="C5" s="5"/>
      <c r="D5" s="5"/>
      <c r="E5" s="5"/>
    </row>
    <row r="6" spans="1:5" ht="18" customHeight="1" x14ac:dyDescent="0.25">
      <c r="A6" s="2" t="s">
        <v>50</v>
      </c>
      <c r="B6" s="2"/>
      <c r="C6" s="2"/>
      <c r="D6" s="2"/>
      <c r="E6" s="2"/>
    </row>
    <row r="8" spans="1:5" ht="30" customHeight="1" x14ac:dyDescent="0.25">
      <c r="A8" s="15" t="s">
        <v>156</v>
      </c>
      <c r="B8" s="15" t="s">
        <v>157</v>
      </c>
      <c r="C8" s="15" t="s">
        <v>158</v>
      </c>
      <c r="D8" s="15" t="s">
        <v>159</v>
      </c>
      <c r="E8" s="15" t="s">
        <v>122</v>
      </c>
    </row>
    <row r="9" spans="1:5" x14ac:dyDescent="0.25">
      <c r="A9" s="16" t="s">
        <v>160</v>
      </c>
      <c r="B9" s="19">
        <v>0.18</v>
      </c>
      <c r="C9" s="18">
        <v>1.4</v>
      </c>
      <c r="D9" s="17">
        <v>220</v>
      </c>
      <c r="E9" s="22" t="str">
        <f t="shared" ref="E9:E14" si="0">IF(AND(B9&gt;=0.1,C9&gt;=1),"★ Star",IF(AND(B9&gt;=0.1,C9&lt;1),"? Question Mark",IF(AND(B9&lt;0.1,C9&gt;=1),"$ Cash Cow","Dog")))</f>
        <v>★ Star</v>
      </c>
    </row>
    <row r="10" spans="1:5" x14ac:dyDescent="0.25">
      <c r="A10" s="16" t="s">
        <v>161</v>
      </c>
      <c r="B10" s="19">
        <v>0.35</v>
      </c>
      <c r="C10" s="18">
        <v>0.6</v>
      </c>
      <c r="D10" s="17">
        <v>80</v>
      </c>
      <c r="E10" s="22" t="str">
        <f t="shared" si="0"/>
        <v>? Question Mark</v>
      </c>
    </row>
    <row r="11" spans="1:5" x14ac:dyDescent="0.25">
      <c r="A11" s="16" t="s">
        <v>162</v>
      </c>
      <c r="B11" s="19">
        <v>0.05</v>
      </c>
      <c r="C11" s="18">
        <v>1.6</v>
      </c>
      <c r="D11" s="17">
        <v>140</v>
      </c>
      <c r="E11" s="22" t="str">
        <f t="shared" si="0"/>
        <v>$ Cash Cow</v>
      </c>
    </row>
    <row r="12" spans="1:5" x14ac:dyDescent="0.25">
      <c r="A12" s="16" t="s">
        <v>163</v>
      </c>
      <c r="B12" s="19">
        <v>0.28000000000000003</v>
      </c>
      <c r="C12" s="18">
        <v>0.5</v>
      </c>
      <c r="D12" s="17">
        <v>35</v>
      </c>
      <c r="E12" s="22" t="str">
        <f t="shared" si="0"/>
        <v>? Question Mark</v>
      </c>
    </row>
    <row r="13" spans="1:5" x14ac:dyDescent="0.25">
      <c r="A13" s="16" t="s">
        <v>164</v>
      </c>
      <c r="B13" s="19">
        <v>0.22</v>
      </c>
      <c r="C13" s="18">
        <v>1.2</v>
      </c>
      <c r="D13" s="17">
        <v>60</v>
      </c>
      <c r="E13" s="22" t="str">
        <f t="shared" si="0"/>
        <v>★ Star</v>
      </c>
    </row>
    <row r="14" spans="1:5" x14ac:dyDescent="0.25">
      <c r="A14" s="16" t="s">
        <v>165</v>
      </c>
      <c r="B14" s="19">
        <v>0.02</v>
      </c>
      <c r="C14" s="18">
        <v>0.7</v>
      </c>
      <c r="D14" s="17">
        <v>12</v>
      </c>
      <c r="E14" s="22" t="str">
        <f t="shared" si="0"/>
        <v>Dog</v>
      </c>
    </row>
    <row r="17" spans="1:5" ht="15" customHeight="1" x14ac:dyDescent="0.25">
      <c r="A17" s="5" t="s">
        <v>166</v>
      </c>
      <c r="B17" s="5"/>
      <c r="C17" s="5"/>
      <c r="D17" s="5"/>
      <c r="E17" s="5"/>
    </row>
    <row r="18" spans="1:5" ht="15" customHeight="1" x14ac:dyDescent="0.25">
      <c r="A18" s="5"/>
      <c r="B18" s="5"/>
      <c r="C18" s="5"/>
      <c r="D18" s="5"/>
      <c r="E18" s="5"/>
    </row>
  </sheetData>
  <mergeCells count="5">
    <mergeCell ref="A1:E1"/>
    <mergeCell ref="A2:E2"/>
    <mergeCell ref="A3:E5"/>
    <mergeCell ref="A6:E6"/>
    <mergeCell ref="A17:E18"/>
  </mergeCells>
  <pageMargins left="0.75" right="0.75" top="1" bottom="1"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31"/>
  <sheetViews>
    <sheetView showGridLines="0" zoomScaleNormal="100" workbookViewId="0">
      <selection sqref="A1:E1"/>
    </sheetView>
  </sheetViews>
  <sheetFormatPr defaultColWidth="8.7109375" defaultRowHeight="15" x14ac:dyDescent="0.25"/>
  <cols>
    <col min="1" max="1" width="26" customWidth="1"/>
    <col min="2" max="2" width="24" customWidth="1"/>
    <col min="3" max="3" width="16" customWidth="1"/>
    <col min="4" max="4" width="14" customWidth="1"/>
    <col min="5" max="5" width="18" customWidth="1"/>
  </cols>
  <sheetData>
    <row r="1" spans="1:5" ht="33.75" customHeight="1" x14ac:dyDescent="0.25">
      <c r="A1" s="4" t="s">
        <v>167</v>
      </c>
      <c r="B1" s="4"/>
      <c r="C1" s="4"/>
      <c r="D1" s="4"/>
      <c r="E1" s="4"/>
    </row>
    <row r="2" spans="1:5" ht="30" customHeight="1" x14ac:dyDescent="0.25">
      <c r="A2" s="3" t="s">
        <v>168</v>
      </c>
      <c r="B2" s="3"/>
      <c r="C2" s="3"/>
      <c r="D2" s="3"/>
      <c r="E2" s="3"/>
    </row>
    <row r="3" spans="1:5" ht="15" customHeight="1" x14ac:dyDescent="0.25">
      <c r="A3" s="5" t="s">
        <v>169</v>
      </c>
      <c r="B3" s="5"/>
      <c r="C3" s="5"/>
      <c r="D3" s="5"/>
      <c r="E3" s="5"/>
    </row>
    <row r="4" spans="1:5" ht="15" customHeight="1" x14ac:dyDescent="0.25">
      <c r="A4" s="5"/>
      <c r="B4" s="5"/>
      <c r="C4" s="5"/>
      <c r="D4" s="5"/>
      <c r="E4" s="5"/>
    </row>
    <row r="5" spans="1:5" ht="15" customHeight="1" x14ac:dyDescent="0.25">
      <c r="A5" s="5"/>
      <c r="B5" s="5"/>
      <c r="C5" s="5"/>
      <c r="D5" s="5"/>
      <c r="E5" s="5"/>
    </row>
    <row r="6" spans="1:5" ht="18" customHeight="1" x14ac:dyDescent="0.25">
      <c r="A6" s="2" t="s">
        <v>50</v>
      </c>
      <c r="B6" s="2"/>
      <c r="C6" s="2"/>
      <c r="D6" s="2"/>
      <c r="E6" s="2"/>
    </row>
    <row r="8" spans="1:5" ht="30" customHeight="1" x14ac:dyDescent="0.25">
      <c r="A8" s="15" t="s">
        <v>170</v>
      </c>
      <c r="B8" s="15" t="s">
        <v>171</v>
      </c>
      <c r="C8" s="15" t="s">
        <v>172</v>
      </c>
      <c r="D8" s="15" t="s">
        <v>173</v>
      </c>
      <c r="E8" s="15" t="s">
        <v>174</v>
      </c>
    </row>
    <row r="9" spans="1:5" ht="25.5" x14ac:dyDescent="0.25">
      <c r="A9" s="16" t="s">
        <v>175</v>
      </c>
      <c r="B9" s="16" t="s">
        <v>176</v>
      </c>
      <c r="C9" s="17">
        <v>40</v>
      </c>
      <c r="D9" s="19">
        <v>0.85</v>
      </c>
      <c r="E9" s="21">
        <f>C9*D9</f>
        <v>34</v>
      </c>
    </row>
    <row r="10" spans="1:5" ht="25.5" x14ac:dyDescent="0.25">
      <c r="A10" s="16" t="s">
        <v>177</v>
      </c>
      <c r="B10" s="16" t="s">
        <v>178</v>
      </c>
      <c r="C10" s="17">
        <v>70</v>
      </c>
      <c r="D10" s="19">
        <v>0.55000000000000004</v>
      </c>
      <c r="E10" s="21">
        <f>C10*D10</f>
        <v>38.5</v>
      </c>
    </row>
    <row r="11" spans="1:5" x14ac:dyDescent="0.25">
      <c r="A11" s="16" t="s">
        <v>179</v>
      </c>
      <c r="B11" s="16" t="s">
        <v>180</v>
      </c>
      <c r="C11" s="17">
        <v>90</v>
      </c>
      <c r="D11" s="19">
        <v>0.45</v>
      </c>
      <c r="E11" s="21">
        <f>C11*D11</f>
        <v>40.5</v>
      </c>
    </row>
    <row r="12" spans="1:5" x14ac:dyDescent="0.25">
      <c r="A12" s="16" t="s">
        <v>181</v>
      </c>
      <c r="B12" s="16" t="s">
        <v>182</v>
      </c>
      <c r="C12" s="17">
        <v>150</v>
      </c>
      <c r="D12" s="19">
        <v>0.25</v>
      </c>
      <c r="E12" s="21">
        <f>C12*D12</f>
        <v>37.5</v>
      </c>
    </row>
    <row r="30" spans="1:5" ht="15" customHeight="1" x14ac:dyDescent="0.25">
      <c r="A30" s="5" t="s">
        <v>183</v>
      </c>
      <c r="B30" s="5"/>
      <c r="C30" s="5"/>
      <c r="D30" s="5"/>
      <c r="E30" s="5"/>
    </row>
    <row r="31" spans="1:5" ht="15" customHeight="1" x14ac:dyDescent="0.25">
      <c r="A31" s="5"/>
      <c r="B31" s="5"/>
      <c r="C31" s="5"/>
      <c r="D31" s="5"/>
      <c r="E31" s="5"/>
    </row>
  </sheetData>
  <mergeCells count="5">
    <mergeCell ref="A1:E1"/>
    <mergeCell ref="A2:E2"/>
    <mergeCell ref="A3:E5"/>
    <mergeCell ref="A6:E6"/>
    <mergeCell ref="A30:E31"/>
  </mergeCells>
  <pageMargins left="0.75" right="0.75" top="1" bottom="1" header="0.511811023622047" footer="0.511811023622047"/>
  <pageSetup paperSize="9"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0"/>
  <sheetViews>
    <sheetView showGridLines="0" zoomScaleNormal="100" workbookViewId="0">
      <selection sqref="A1:C1"/>
    </sheetView>
  </sheetViews>
  <sheetFormatPr defaultColWidth="8.7109375" defaultRowHeight="15" x14ac:dyDescent="0.25"/>
  <cols>
    <col min="1" max="1" width="30" customWidth="1"/>
    <col min="2" max="2" width="16" customWidth="1"/>
    <col min="3" max="3" width="34" customWidth="1"/>
  </cols>
  <sheetData>
    <row r="1" spans="1:3" ht="33.75" customHeight="1" x14ac:dyDescent="0.25">
      <c r="A1" s="4" t="s">
        <v>184</v>
      </c>
      <c r="B1" s="4"/>
      <c r="C1" s="4"/>
    </row>
    <row r="2" spans="1:3" ht="30" customHeight="1" x14ac:dyDescent="0.25">
      <c r="A2" s="3" t="s">
        <v>185</v>
      </c>
      <c r="B2" s="3"/>
      <c r="C2" s="3"/>
    </row>
    <row r="3" spans="1:3" ht="15" customHeight="1" x14ac:dyDescent="0.25">
      <c r="A3" s="5" t="s">
        <v>186</v>
      </c>
      <c r="B3" s="5"/>
      <c r="C3" s="5"/>
    </row>
    <row r="4" spans="1:3" ht="15" customHeight="1" x14ac:dyDescent="0.25">
      <c r="A4" s="5"/>
      <c r="B4" s="5"/>
      <c r="C4" s="5"/>
    </row>
    <row r="5" spans="1:3" ht="15" customHeight="1" x14ac:dyDescent="0.25">
      <c r="A5" s="5"/>
      <c r="B5" s="5"/>
      <c r="C5" s="5"/>
    </row>
    <row r="6" spans="1:3" ht="18" customHeight="1" x14ac:dyDescent="0.25">
      <c r="A6" s="2" t="s">
        <v>50</v>
      </c>
      <c r="B6" s="2"/>
      <c r="C6" s="2"/>
    </row>
    <row r="8" spans="1:3" ht="30" customHeight="1" x14ac:dyDescent="0.25">
      <c r="A8" s="15" t="s">
        <v>187</v>
      </c>
      <c r="B8" s="15" t="s">
        <v>188</v>
      </c>
      <c r="C8" s="15" t="s">
        <v>189</v>
      </c>
    </row>
    <row r="9" spans="1:3" x14ac:dyDescent="0.25">
      <c r="A9" s="16" t="s">
        <v>190</v>
      </c>
      <c r="B9" s="34">
        <v>4</v>
      </c>
      <c r="C9" s="16" t="s">
        <v>191</v>
      </c>
    </row>
    <row r="10" spans="1:3" ht="25.5" x14ac:dyDescent="0.25">
      <c r="A10" s="16" t="s">
        <v>192</v>
      </c>
      <c r="B10" s="34">
        <v>3</v>
      </c>
      <c r="C10" s="16" t="s">
        <v>193</v>
      </c>
    </row>
    <row r="11" spans="1:3" ht="25.5" x14ac:dyDescent="0.25">
      <c r="A11" s="16" t="s">
        <v>194</v>
      </c>
      <c r="B11" s="34">
        <v>4</v>
      </c>
      <c r="C11" s="16" t="s">
        <v>195</v>
      </c>
    </row>
    <row r="12" spans="1:3" x14ac:dyDescent="0.25">
      <c r="A12" s="16" t="s">
        <v>196</v>
      </c>
      <c r="B12" s="34">
        <v>4</v>
      </c>
      <c r="C12" s="16" t="s">
        <v>197</v>
      </c>
    </row>
    <row r="13" spans="1:3" ht="25.5" x14ac:dyDescent="0.25">
      <c r="A13" s="16" t="s">
        <v>198</v>
      </c>
      <c r="B13" s="34">
        <v>2</v>
      </c>
      <c r="C13" s="16" t="s">
        <v>199</v>
      </c>
    </row>
    <row r="15" spans="1:3" x14ac:dyDescent="0.25">
      <c r="A15" s="32" t="s">
        <v>200</v>
      </c>
      <c r="B15" s="28">
        <f>AVERAGE(B9:B13)</f>
        <v>3.4</v>
      </c>
    </row>
    <row r="16" spans="1:3" x14ac:dyDescent="0.25">
      <c r="A16" s="32" t="s">
        <v>201</v>
      </c>
      <c r="B16" s="28">
        <f>6-B15</f>
        <v>2.6</v>
      </c>
    </row>
    <row r="17" spans="1:3" ht="25.5" x14ac:dyDescent="0.25">
      <c r="A17" s="32" t="s">
        <v>202</v>
      </c>
      <c r="B17" s="22" t="str">
        <f>IF(B16&gt;=4,"Attractive",IF(B16&gt;=2.5,"Tough but viable","Hostile"))</f>
        <v>Tough but viable</v>
      </c>
    </row>
    <row r="19" spans="1:3" ht="15" customHeight="1" x14ac:dyDescent="0.25">
      <c r="A19" s="5" t="s">
        <v>203</v>
      </c>
      <c r="B19" s="5"/>
      <c r="C19" s="5"/>
    </row>
    <row r="20" spans="1:3" ht="15" customHeight="1" x14ac:dyDescent="0.25">
      <c r="A20" s="5"/>
      <c r="B20" s="5"/>
      <c r="C20" s="5"/>
    </row>
  </sheetData>
  <mergeCells count="5">
    <mergeCell ref="A1:C1"/>
    <mergeCell ref="A2:C2"/>
    <mergeCell ref="A3:C5"/>
    <mergeCell ref="A6:C6"/>
    <mergeCell ref="A19:C20"/>
  </mergeCells>
  <pageMargins left="0.75" right="0.75" top="1" bottom="1" header="0.511811023622047" footer="0.511811023622047"/>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9"/>
  <sheetViews>
    <sheetView showGridLines="0" zoomScaleNormal="100" workbookViewId="0">
      <selection sqref="A1:E1"/>
    </sheetView>
  </sheetViews>
  <sheetFormatPr defaultColWidth="8.7109375" defaultRowHeight="15" x14ac:dyDescent="0.25"/>
  <cols>
    <col min="1" max="1" width="30" customWidth="1"/>
    <col min="2" max="4" width="16" customWidth="1"/>
    <col min="5" max="5" width="10" customWidth="1"/>
  </cols>
  <sheetData>
    <row r="1" spans="1:5" ht="33.75" customHeight="1" x14ac:dyDescent="0.25">
      <c r="A1" s="4" t="s">
        <v>204</v>
      </c>
      <c r="B1" s="4"/>
      <c r="C1" s="4"/>
      <c r="D1" s="4"/>
      <c r="E1" s="4"/>
    </row>
    <row r="2" spans="1:5" ht="30" customHeight="1" x14ac:dyDescent="0.25">
      <c r="A2" s="3" t="s">
        <v>205</v>
      </c>
      <c r="B2" s="3"/>
      <c r="C2" s="3"/>
      <c r="D2" s="3"/>
      <c r="E2" s="3"/>
    </row>
    <row r="3" spans="1:5" ht="15" customHeight="1" x14ac:dyDescent="0.25">
      <c r="A3" s="5" t="s">
        <v>206</v>
      </c>
      <c r="B3" s="5"/>
      <c r="C3" s="5"/>
      <c r="D3" s="5"/>
      <c r="E3" s="5"/>
    </row>
    <row r="4" spans="1:5" ht="15" customHeight="1" x14ac:dyDescent="0.25">
      <c r="A4" s="5"/>
      <c r="B4" s="5"/>
      <c r="C4" s="5"/>
      <c r="D4" s="5"/>
      <c r="E4" s="5"/>
    </row>
    <row r="5" spans="1:5" ht="15" customHeight="1" x14ac:dyDescent="0.25">
      <c r="A5" s="5"/>
      <c r="B5" s="5"/>
      <c r="C5" s="5"/>
      <c r="D5" s="5"/>
      <c r="E5" s="5"/>
    </row>
    <row r="6" spans="1:5" ht="18" customHeight="1" x14ac:dyDescent="0.25">
      <c r="A6" s="2" t="s">
        <v>50</v>
      </c>
      <c r="B6" s="2"/>
      <c r="C6" s="2"/>
      <c r="D6" s="2"/>
      <c r="E6" s="2"/>
    </row>
    <row r="8" spans="1:5" ht="21.75" customHeight="1" x14ac:dyDescent="0.25">
      <c r="A8" s="7" t="s">
        <v>207</v>
      </c>
      <c r="B8" s="7"/>
      <c r="C8" s="7"/>
      <c r="D8" s="7"/>
      <c r="E8" s="7"/>
    </row>
    <row r="9" spans="1:5" ht="30" customHeight="1" x14ac:dyDescent="0.25">
      <c r="A9" s="15" t="s">
        <v>208</v>
      </c>
      <c r="B9" s="15" t="s">
        <v>209</v>
      </c>
      <c r="C9" s="15" t="s">
        <v>210</v>
      </c>
      <c r="D9" s="15" t="s">
        <v>211</v>
      </c>
      <c r="E9" s="15" t="s">
        <v>212</v>
      </c>
    </row>
    <row r="10" spans="1:5" x14ac:dyDescent="0.25">
      <c r="A10" s="16" t="s">
        <v>213</v>
      </c>
      <c r="B10" s="20">
        <v>1200</v>
      </c>
      <c r="C10" s="20">
        <v>1500</v>
      </c>
      <c r="D10" s="35">
        <f>C10-B10</f>
        <v>300</v>
      </c>
      <c r="E10" s="36">
        <f>IFERROR((C10-B10)/B10,0)</f>
        <v>0.25</v>
      </c>
    </row>
    <row r="11" spans="1:5" x14ac:dyDescent="0.25">
      <c r="A11" s="16" t="s">
        <v>214</v>
      </c>
      <c r="B11" s="20">
        <v>3.2</v>
      </c>
      <c r="C11" s="20">
        <v>3.8</v>
      </c>
      <c r="D11" s="35">
        <f>C11-B11</f>
        <v>0.59999999999999964</v>
      </c>
      <c r="E11" s="36">
        <f>IFERROR((C11-B11)/B11,0)</f>
        <v>0.18749999999999989</v>
      </c>
    </row>
    <row r="12" spans="1:5" x14ac:dyDescent="0.25">
      <c r="A12" s="16" t="s">
        <v>215</v>
      </c>
      <c r="B12" s="19">
        <v>0.86</v>
      </c>
      <c r="C12" s="19">
        <v>0.93</v>
      </c>
      <c r="D12" s="37">
        <f>C12-B12</f>
        <v>7.0000000000000062E-2</v>
      </c>
      <c r="E12" s="36">
        <f>IFERROR((C12-B12)/B12,0)</f>
        <v>8.1395348837209378E-2</v>
      </c>
    </row>
    <row r="13" spans="1:5" ht="25.5" x14ac:dyDescent="0.25">
      <c r="A13" s="38" t="s">
        <v>216</v>
      </c>
      <c r="B13" s="39">
        <f>B10*B11*B12/1000</f>
        <v>3.3024</v>
      </c>
      <c r="C13" s="39">
        <f>C10*C11*C12/1000</f>
        <v>5.3010000000000002</v>
      </c>
      <c r="D13" s="40">
        <f>C13-B13</f>
        <v>1.9986000000000002</v>
      </c>
      <c r="E13" s="41">
        <f>IFERROR((C13-B13)/B13,0)</f>
        <v>0.60519622093023262</v>
      </c>
    </row>
    <row r="16" spans="1:5" ht="21.75" customHeight="1" x14ac:dyDescent="0.25">
      <c r="A16" s="7" t="s">
        <v>217</v>
      </c>
      <c r="B16" s="7"/>
      <c r="C16" s="7"/>
      <c r="D16" s="7"/>
      <c r="E16" s="7"/>
    </row>
    <row r="17" spans="1:5" ht="30" customHeight="1" x14ac:dyDescent="0.25">
      <c r="A17" s="15" t="s">
        <v>218</v>
      </c>
      <c r="B17" s="15" t="s">
        <v>219</v>
      </c>
      <c r="C17" s="15" t="s">
        <v>220</v>
      </c>
    </row>
    <row r="18" spans="1:5" x14ac:dyDescent="0.25">
      <c r="A18" s="31" t="s">
        <v>221</v>
      </c>
      <c r="B18" s="20">
        <v>2.9</v>
      </c>
      <c r="C18" s="20">
        <v>3</v>
      </c>
    </row>
    <row r="19" spans="1:5" x14ac:dyDescent="0.25">
      <c r="A19" s="31" t="s">
        <v>222</v>
      </c>
      <c r="B19" s="20">
        <v>3</v>
      </c>
      <c r="C19" s="20">
        <v>3.15</v>
      </c>
    </row>
    <row r="20" spans="1:5" x14ac:dyDescent="0.25">
      <c r="A20" s="31" t="s">
        <v>223</v>
      </c>
      <c r="B20" s="20">
        <v>3.15</v>
      </c>
      <c r="C20" s="20">
        <v>3.3</v>
      </c>
    </row>
    <row r="21" spans="1:5" x14ac:dyDescent="0.25">
      <c r="A21" s="31" t="s">
        <v>224</v>
      </c>
      <c r="B21" s="20">
        <v>3.3</v>
      </c>
      <c r="C21" s="20">
        <v>3.45</v>
      </c>
    </row>
    <row r="22" spans="1:5" x14ac:dyDescent="0.25">
      <c r="A22" s="31" t="s">
        <v>225</v>
      </c>
      <c r="B22" s="20">
        <v>3.4</v>
      </c>
      <c r="C22" s="20">
        <v>3.6</v>
      </c>
    </row>
    <row r="23" spans="1:5" x14ac:dyDescent="0.25">
      <c r="A23" s="31" t="s">
        <v>226</v>
      </c>
      <c r="B23" s="20">
        <v>3.55</v>
      </c>
      <c r="C23" s="20">
        <v>3.75</v>
      </c>
    </row>
    <row r="24" spans="1:5" x14ac:dyDescent="0.25">
      <c r="A24" s="31" t="s">
        <v>227</v>
      </c>
      <c r="B24" s="20">
        <v>3.7</v>
      </c>
      <c r="C24" s="20">
        <v>3.9</v>
      </c>
    </row>
    <row r="25" spans="1:5" x14ac:dyDescent="0.25">
      <c r="A25" s="31" t="s">
        <v>228</v>
      </c>
      <c r="B25" s="20">
        <v>3.8</v>
      </c>
      <c r="C25" s="20">
        <v>4.05</v>
      </c>
    </row>
    <row r="26" spans="1:5" x14ac:dyDescent="0.25">
      <c r="A26" s="31" t="s">
        <v>229</v>
      </c>
      <c r="B26" s="20"/>
      <c r="C26" s="20">
        <v>4.2</v>
      </c>
    </row>
    <row r="28" spans="1:5" ht="15" customHeight="1" x14ac:dyDescent="0.25">
      <c r="A28" s="5" t="s">
        <v>230</v>
      </c>
      <c r="B28" s="5"/>
      <c r="C28" s="5"/>
      <c r="D28" s="5"/>
      <c r="E28" s="5"/>
    </row>
    <row r="29" spans="1:5" ht="15" customHeight="1" x14ac:dyDescent="0.25">
      <c r="A29" s="5"/>
      <c r="B29" s="5"/>
      <c r="C29" s="5"/>
      <c r="D29" s="5"/>
      <c r="E29" s="5"/>
    </row>
  </sheetData>
  <mergeCells count="7">
    <mergeCell ref="A16:E16"/>
    <mergeCell ref="A28:E29"/>
    <mergeCell ref="A1:E1"/>
    <mergeCell ref="A2:E2"/>
    <mergeCell ref="A3:E5"/>
    <mergeCell ref="A6:E6"/>
    <mergeCell ref="A8:E8"/>
  </mergeCells>
  <pageMargins left="0.75" right="0.75" top="1" bottom="1" header="0.511811023622047" footer="0.511811023622047"/>
  <pageSetup paperSize="9" orientation="portrait" horizontalDpi="300"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32"/>
  <sheetViews>
    <sheetView showGridLines="0" zoomScaleNormal="100" workbookViewId="0">
      <selection sqref="A1:E1"/>
    </sheetView>
  </sheetViews>
  <sheetFormatPr defaultColWidth="8.7109375" defaultRowHeight="15" x14ac:dyDescent="0.25"/>
  <cols>
    <col min="1" max="1" width="20" customWidth="1"/>
    <col min="2" max="2" width="16" customWidth="1"/>
    <col min="3" max="3" width="18" customWidth="1"/>
    <col min="4" max="4" width="16" customWidth="1"/>
    <col min="5" max="5" width="30" customWidth="1"/>
  </cols>
  <sheetData>
    <row r="1" spans="1:5" ht="33.75" customHeight="1" x14ac:dyDescent="0.25">
      <c r="A1" s="4" t="s">
        <v>231</v>
      </c>
      <c r="B1" s="4"/>
      <c r="C1" s="4"/>
      <c r="D1" s="4"/>
      <c r="E1" s="4"/>
    </row>
    <row r="2" spans="1:5" ht="30" customHeight="1" x14ac:dyDescent="0.25">
      <c r="A2" s="3" t="s">
        <v>232</v>
      </c>
      <c r="B2" s="3"/>
      <c r="C2" s="3"/>
      <c r="D2" s="3"/>
      <c r="E2" s="3"/>
    </row>
    <row r="3" spans="1:5" ht="15" customHeight="1" x14ac:dyDescent="0.25">
      <c r="A3" s="5" t="s">
        <v>233</v>
      </c>
      <c r="B3" s="5"/>
      <c r="C3" s="5"/>
      <c r="D3" s="5"/>
      <c r="E3" s="5"/>
    </row>
    <row r="4" spans="1:5" ht="15" customHeight="1" x14ac:dyDescent="0.25">
      <c r="A4" s="5"/>
      <c r="B4" s="5"/>
      <c r="C4" s="5"/>
      <c r="D4" s="5"/>
      <c r="E4" s="5"/>
    </row>
    <row r="5" spans="1:5" ht="15" customHeight="1" x14ac:dyDescent="0.25">
      <c r="A5" s="5"/>
      <c r="B5" s="5"/>
      <c r="C5" s="5"/>
      <c r="D5" s="5"/>
      <c r="E5" s="5"/>
    </row>
    <row r="6" spans="1:5" ht="18" customHeight="1" x14ac:dyDescent="0.25">
      <c r="A6" s="2" t="s">
        <v>50</v>
      </c>
      <c r="B6" s="2"/>
      <c r="C6" s="2"/>
      <c r="D6" s="2"/>
      <c r="E6" s="2"/>
    </row>
    <row r="8" spans="1:5" ht="30" customHeight="1" x14ac:dyDescent="0.25">
      <c r="A8" s="15" t="s">
        <v>234</v>
      </c>
      <c r="B8" s="15" t="s">
        <v>235</v>
      </c>
      <c r="C8" s="15" t="s">
        <v>236</v>
      </c>
      <c r="D8" s="15" t="s">
        <v>237</v>
      </c>
      <c r="E8" s="15" t="s">
        <v>238</v>
      </c>
    </row>
    <row r="9" spans="1:5" x14ac:dyDescent="0.25">
      <c r="A9" s="42" t="s">
        <v>239</v>
      </c>
      <c r="B9" s="17">
        <v>100000</v>
      </c>
      <c r="C9" s="27" t="s">
        <v>240</v>
      </c>
      <c r="D9" s="36">
        <f>B9/$B$9</f>
        <v>1</v>
      </c>
      <c r="E9" s="13" t="s">
        <v>241</v>
      </c>
    </row>
    <row r="10" spans="1:5" x14ac:dyDescent="0.25">
      <c r="A10" s="42" t="s">
        <v>242</v>
      </c>
      <c r="B10" s="17">
        <v>42000</v>
      </c>
      <c r="C10" s="36">
        <f>B10/B9</f>
        <v>0.42</v>
      </c>
      <c r="D10" s="36">
        <f>B10/$B$9</f>
        <v>0.42</v>
      </c>
      <c r="E10" s="13" t="s">
        <v>243</v>
      </c>
    </row>
    <row r="11" spans="1:5" x14ac:dyDescent="0.25">
      <c r="A11" s="42" t="s">
        <v>244</v>
      </c>
      <c r="B11" s="17">
        <v>23000</v>
      </c>
      <c r="C11" s="36">
        <f>B11/B10</f>
        <v>0.54761904761904767</v>
      </c>
      <c r="D11" s="36">
        <f>B11/$B$9</f>
        <v>0.23</v>
      </c>
      <c r="E11" s="13" t="s">
        <v>245</v>
      </c>
    </row>
    <row r="12" spans="1:5" x14ac:dyDescent="0.25">
      <c r="A12" s="42" t="s">
        <v>246</v>
      </c>
      <c r="B12" s="17">
        <v>18000</v>
      </c>
      <c r="C12" s="36">
        <f>B12/B11</f>
        <v>0.78260869565217395</v>
      </c>
      <c r="D12" s="36">
        <f>B12/$B$9</f>
        <v>0.18</v>
      </c>
      <c r="E12" s="13" t="s">
        <v>247</v>
      </c>
    </row>
    <row r="13" spans="1:5" x14ac:dyDescent="0.25">
      <c r="A13" s="42" t="s">
        <v>248</v>
      </c>
      <c r="B13" s="17">
        <v>5400</v>
      </c>
      <c r="C13" s="36">
        <f>B13/B12</f>
        <v>0.3</v>
      </c>
      <c r="D13" s="36">
        <f>B13/$B$9</f>
        <v>5.3999999999999999E-2</v>
      </c>
      <c r="E13" s="13" t="s">
        <v>249</v>
      </c>
    </row>
    <row r="31" spans="1:5" ht="15" customHeight="1" x14ac:dyDescent="0.25">
      <c r="A31" s="5" t="s">
        <v>250</v>
      </c>
      <c r="B31" s="5"/>
      <c r="C31" s="5"/>
      <c r="D31" s="5"/>
      <c r="E31" s="5"/>
    </row>
    <row r="32" spans="1:5" ht="15" customHeight="1" x14ac:dyDescent="0.25">
      <c r="A32" s="5"/>
      <c r="B32" s="5"/>
      <c r="C32" s="5"/>
      <c r="D32" s="5"/>
      <c r="E32" s="5"/>
    </row>
  </sheetData>
  <mergeCells count="5">
    <mergeCell ref="A1:E1"/>
    <mergeCell ref="A2:E2"/>
    <mergeCell ref="A3:E5"/>
    <mergeCell ref="A6:E6"/>
    <mergeCell ref="A31:E32"/>
  </mergeCells>
  <pageMargins left="0.75" right="0.75" top="1" bottom="1" header="0.511811023622047" footer="0.511811023622047"/>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32"/>
  <sheetViews>
    <sheetView showGridLines="0" zoomScaleNormal="100" workbookViewId="0">
      <selection sqref="A1:E1"/>
    </sheetView>
  </sheetViews>
  <sheetFormatPr defaultColWidth="8.7109375" defaultRowHeight="15" x14ac:dyDescent="0.25"/>
  <cols>
    <col min="1" max="1" width="16" customWidth="1"/>
    <col min="2" max="2" width="30" customWidth="1"/>
    <col min="3" max="4" width="14" customWidth="1"/>
    <col min="5" max="5" width="13" customWidth="1"/>
  </cols>
  <sheetData>
    <row r="1" spans="1:5" ht="33.75" customHeight="1" x14ac:dyDescent="0.25">
      <c r="A1" s="4" t="s">
        <v>251</v>
      </c>
      <c r="B1" s="4"/>
      <c r="C1" s="4"/>
      <c r="D1" s="4"/>
      <c r="E1" s="4"/>
    </row>
    <row r="2" spans="1:5" ht="30" customHeight="1" x14ac:dyDescent="0.25">
      <c r="A2" s="3" t="s">
        <v>252</v>
      </c>
      <c r="B2" s="3"/>
      <c r="C2" s="3"/>
      <c r="D2" s="3"/>
      <c r="E2" s="3"/>
    </row>
    <row r="3" spans="1:5" ht="15" customHeight="1" x14ac:dyDescent="0.25">
      <c r="A3" s="5" t="s">
        <v>253</v>
      </c>
      <c r="B3" s="5"/>
      <c r="C3" s="5"/>
      <c r="D3" s="5"/>
      <c r="E3" s="5"/>
    </row>
    <row r="4" spans="1:5" ht="15" customHeight="1" x14ac:dyDescent="0.25">
      <c r="A4" s="5"/>
      <c r="B4" s="5"/>
      <c r="C4" s="5"/>
      <c r="D4" s="5"/>
      <c r="E4" s="5"/>
    </row>
    <row r="5" spans="1:5" ht="15" customHeight="1" x14ac:dyDescent="0.25">
      <c r="A5" s="5"/>
      <c r="B5" s="5"/>
      <c r="C5" s="5"/>
      <c r="D5" s="5"/>
      <c r="E5" s="5"/>
    </row>
    <row r="6" spans="1:5" ht="18" customHeight="1" x14ac:dyDescent="0.25">
      <c r="A6" s="2" t="s">
        <v>50</v>
      </c>
      <c r="B6" s="2"/>
      <c r="C6" s="2"/>
      <c r="D6" s="2"/>
      <c r="E6" s="2"/>
    </row>
    <row r="8" spans="1:5" ht="30" customHeight="1" x14ac:dyDescent="0.25">
      <c r="A8" s="15" t="s">
        <v>122</v>
      </c>
      <c r="B8" s="15" t="s">
        <v>254</v>
      </c>
      <c r="C8" s="15" t="s">
        <v>209</v>
      </c>
      <c r="D8" s="15" t="s">
        <v>255</v>
      </c>
      <c r="E8" s="15" t="s">
        <v>256</v>
      </c>
    </row>
    <row r="9" spans="1:5" x14ac:dyDescent="0.25">
      <c r="A9" s="43" t="s">
        <v>257</v>
      </c>
      <c r="B9" s="16" t="s">
        <v>258</v>
      </c>
      <c r="C9" s="19">
        <v>0.72</v>
      </c>
      <c r="D9" s="19">
        <v>0.85</v>
      </c>
      <c r="E9" s="41">
        <f>IFERROR(C9/D9,0)</f>
        <v>0.84705882352941175</v>
      </c>
    </row>
    <row r="10" spans="1:5" x14ac:dyDescent="0.25">
      <c r="A10" s="43" t="s">
        <v>259</v>
      </c>
      <c r="B10" s="16" t="s">
        <v>260</v>
      </c>
      <c r="C10" s="20">
        <v>1.1000000000000001</v>
      </c>
      <c r="D10" s="20">
        <v>1.5</v>
      </c>
      <c r="E10" s="41">
        <f>IFERROR(C10/D10,0)</f>
        <v>0.73333333333333339</v>
      </c>
    </row>
    <row r="11" spans="1:5" x14ac:dyDescent="0.25">
      <c r="A11" s="43" t="s">
        <v>261</v>
      </c>
      <c r="B11" s="16" t="s">
        <v>262</v>
      </c>
      <c r="C11" s="19">
        <v>0.34</v>
      </c>
      <c r="D11" s="19">
        <v>0.6</v>
      </c>
      <c r="E11" s="41">
        <f>IFERROR(C11/D11,0)</f>
        <v>0.56666666666666676</v>
      </c>
    </row>
    <row r="12" spans="1:5" x14ac:dyDescent="0.25">
      <c r="A12" s="43" t="s">
        <v>244</v>
      </c>
      <c r="B12" s="16" t="s">
        <v>263</v>
      </c>
      <c r="C12" s="19">
        <v>0.28000000000000003</v>
      </c>
      <c r="D12" s="19">
        <v>0.4</v>
      </c>
      <c r="E12" s="41">
        <f>IFERROR(C12/D12,0)</f>
        <v>0.70000000000000007</v>
      </c>
    </row>
    <row r="13" spans="1:5" x14ac:dyDescent="0.25">
      <c r="A13" s="43" t="s">
        <v>264</v>
      </c>
      <c r="B13" s="16" t="s">
        <v>265</v>
      </c>
      <c r="C13" s="19">
        <v>0.88</v>
      </c>
      <c r="D13" s="19">
        <v>0.95</v>
      </c>
      <c r="E13" s="41">
        <f>IFERROR(C13/D13,0)</f>
        <v>0.9263157894736842</v>
      </c>
    </row>
    <row r="31" spans="1:5" ht="15" customHeight="1" x14ac:dyDescent="0.25">
      <c r="A31" s="5" t="s">
        <v>266</v>
      </c>
      <c r="B31" s="5"/>
      <c r="C31" s="5"/>
      <c r="D31" s="5"/>
      <c r="E31" s="5"/>
    </row>
    <row r="32" spans="1:5" ht="15" customHeight="1" x14ac:dyDescent="0.25">
      <c r="A32" s="5"/>
      <c r="B32" s="5"/>
      <c r="C32" s="5"/>
      <c r="D32" s="5"/>
      <c r="E32" s="5"/>
    </row>
  </sheetData>
  <mergeCells count="5">
    <mergeCell ref="A1:E1"/>
    <mergeCell ref="A2:E2"/>
    <mergeCell ref="A3:E5"/>
    <mergeCell ref="A6:E6"/>
    <mergeCell ref="A31:E32"/>
  </mergeCells>
  <pageMargins left="0.75" right="0.75" top="1" bottom="1" header="0.511811023622047" footer="0.511811023622047"/>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1"/>
  <sheetViews>
    <sheetView showGridLines="0" zoomScaleNormal="100" workbookViewId="0">
      <selection sqref="A1:E1"/>
    </sheetView>
  </sheetViews>
  <sheetFormatPr defaultColWidth="8.7109375" defaultRowHeight="15" x14ac:dyDescent="0.25"/>
  <cols>
    <col min="1" max="1" width="30" customWidth="1"/>
    <col min="2" max="2" width="16" customWidth="1"/>
    <col min="3" max="3" width="4" customWidth="1"/>
    <col min="4" max="4" width="24" customWidth="1"/>
    <col min="5" max="5" width="16" customWidth="1"/>
  </cols>
  <sheetData>
    <row r="1" spans="1:6" ht="33.75" customHeight="1" x14ac:dyDescent="0.25">
      <c r="A1" s="4" t="s">
        <v>267</v>
      </c>
      <c r="B1" s="4"/>
      <c r="C1" s="4"/>
      <c r="D1" s="4"/>
      <c r="E1" s="4"/>
    </row>
    <row r="2" spans="1:6" ht="30" customHeight="1" x14ac:dyDescent="0.25">
      <c r="A2" s="3" t="s">
        <v>268</v>
      </c>
      <c r="B2" s="3"/>
      <c r="C2" s="3"/>
      <c r="D2" s="3"/>
      <c r="E2" s="3"/>
    </row>
    <row r="3" spans="1:6" ht="15" customHeight="1" x14ac:dyDescent="0.25">
      <c r="A3" s="5" t="s">
        <v>269</v>
      </c>
      <c r="B3" s="5"/>
      <c r="C3" s="5"/>
      <c r="D3" s="5"/>
      <c r="E3" s="5"/>
    </row>
    <row r="4" spans="1:6" ht="15" customHeight="1" x14ac:dyDescent="0.25">
      <c r="A4" s="5"/>
      <c r="B4" s="5"/>
      <c r="C4" s="5"/>
      <c r="D4" s="5"/>
      <c r="E4" s="5"/>
    </row>
    <row r="5" spans="1:6" ht="15" customHeight="1" x14ac:dyDescent="0.25">
      <c r="A5" s="5"/>
      <c r="B5" s="5"/>
      <c r="C5" s="5"/>
      <c r="D5" s="5"/>
      <c r="E5" s="5"/>
    </row>
    <row r="6" spans="1:6" ht="18" customHeight="1" x14ac:dyDescent="0.25">
      <c r="A6" s="2" t="s">
        <v>50</v>
      </c>
      <c r="B6" s="2"/>
      <c r="C6" s="2"/>
      <c r="D6" s="2"/>
      <c r="E6" s="2"/>
    </row>
    <row r="8" spans="1:6" ht="21.75" customHeight="1" x14ac:dyDescent="0.25">
      <c r="A8" s="7" t="s">
        <v>270</v>
      </c>
      <c r="B8" s="7"/>
      <c r="D8" s="7" t="s">
        <v>271</v>
      </c>
      <c r="E8" s="7"/>
    </row>
    <row r="9" spans="1:6" ht="30" customHeight="1" x14ac:dyDescent="0.25">
      <c r="A9" s="13" t="s">
        <v>272</v>
      </c>
      <c r="B9" s="44">
        <v>300</v>
      </c>
      <c r="D9" s="15" t="s">
        <v>273</v>
      </c>
      <c r="E9" s="15" t="s">
        <v>274</v>
      </c>
      <c r="F9" s="15" t="s">
        <v>275</v>
      </c>
    </row>
    <row r="10" spans="1:6" x14ac:dyDescent="0.25">
      <c r="A10" s="13" t="s">
        <v>276</v>
      </c>
      <c r="B10" s="19">
        <v>0.3</v>
      </c>
      <c r="D10" s="45">
        <v>0.03</v>
      </c>
      <c r="E10" s="46">
        <f>$B$9*$B$10*(1/D10)</f>
        <v>3000</v>
      </c>
      <c r="F10" s="47">
        <f>E10/$B$12</f>
        <v>3.3333333333333335</v>
      </c>
    </row>
    <row r="11" spans="1:6" x14ac:dyDescent="0.25">
      <c r="A11" s="13" t="s">
        <v>277</v>
      </c>
      <c r="B11" s="45">
        <v>0.05</v>
      </c>
      <c r="D11" s="45">
        <v>0.05</v>
      </c>
      <c r="E11" s="46">
        <f>$B$9*$B$10*(1/D11)</f>
        <v>1800</v>
      </c>
      <c r="F11" s="47">
        <f>E11/$B$12</f>
        <v>2</v>
      </c>
    </row>
    <row r="12" spans="1:6" ht="25.5" x14ac:dyDescent="0.25">
      <c r="A12" s="13" t="s">
        <v>278</v>
      </c>
      <c r="B12" s="44">
        <v>900</v>
      </c>
      <c r="D12" s="45">
        <v>7.0000000000000007E-2</v>
      </c>
      <c r="E12" s="46">
        <f>$B$9*$B$10*(1/D12)</f>
        <v>1285.7142857142856</v>
      </c>
      <c r="F12" s="47">
        <f>E12/$B$12</f>
        <v>1.4285714285714284</v>
      </c>
    </row>
    <row r="13" spans="1:6" x14ac:dyDescent="0.25">
      <c r="A13" s="32" t="s">
        <v>279</v>
      </c>
      <c r="B13" s="40">
        <f>1/B11</f>
        <v>20</v>
      </c>
      <c r="D13" s="45">
        <v>0.1</v>
      </c>
      <c r="E13" s="46">
        <f>$B$9*$B$10*(1/D13)</f>
        <v>900</v>
      </c>
      <c r="F13" s="47">
        <f>E13/$B$12</f>
        <v>1</v>
      </c>
    </row>
    <row r="14" spans="1:6" ht="25.5" x14ac:dyDescent="0.25">
      <c r="A14" s="32" t="s">
        <v>280</v>
      </c>
      <c r="B14" s="48">
        <f>B9*B10</f>
        <v>90</v>
      </c>
    </row>
    <row r="15" spans="1:6" x14ac:dyDescent="0.25">
      <c r="A15" s="32" t="s">
        <v>281</v>
      </c>
      <c r="B15" s="48">
        <f>B9*B10*(1/B11)</f>
        <v>1800</v>
      </c>
    </row>
    <row r="16" spans="1:6" x14ac:dyDescent="0.25">
      <c r="A16" s="32" t="s">
        <v>282</v>
      </c>
      <c r="B16" s="49">
        <f>(B9*B10*(1/B11))/B12</f>
        <v>2</v>
      </c>
    </row>
    <row r="17" spans="1:5" x14ac:dyDescent="0.25">
      <c r="A17" s="32" t="s">
        <v>283</v>
      </c>
      <c r="B17" s="40">
        <f>B12/(B9*B10)</f>
        <v>10</v>
      </c>
    </row>
    <row r="18" spans="1:5" x14ac:dyDescent="0.25">
      <c r="A18" s="32" t="s">
        <v>284</v>
      </c>
      <c r="B18" s="22" t="str">
        <f>IF(B16&gt;=3,"Healthy ✓",IF(B16&gt;=1,"Fragile","Losing money"))</f>
        <v>Fragile</v>
      </c>
    </row>
    <row r="20" spans="1:5" ht="15" customHeight="1" x14ac:dyDescent="0.25">
      <c r="A20" s="5" t="s">
        <v>285</v>
      </c>
      <c r="B20" s="5"/>
      <c r="C20" s="5"/>
      <c r="D20" s="5"/>
      <c r="E20" s="5"/>
    </row>
    <row r="21" spans="1:5" ht="15" customHeight="1" x14ac:dyDescent="0.25">
      <c r="A21" s="5"/>
      <c r="B21" s="5"/>
      <c r="C21" s="5"/>
      <c r="D21" s="5"/>
      <c r="E21" s="5"/>
    </row>
  </sheetData>
  <mergeCells count="7">
    <mergeCell ref="A20:E21"/>
    <mergeCell ref="A1:E1"/>
    <mergeCell ref="A2:E2"/>
    <mergeCell ref="A3:E5"/>
    <mergeCell ref="A6:E6"/>
    <mergeCell ref="A8:B8"/>
    <mergeCell ref="D8:E8"/>
  </mergeCells>
  <pageMargins left="0.75" right="0.75" top="1" bottom="1"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43"/>
  <sheetViews>
    <sheetView showGridLines="0" zoomScaleNormal="100" workbookViewId="0">
      <selection sqref="A1:H1"/>
    </sheetView>
  </sheetViews>
  <sheetFormatPr defaultColWidth="8.7109375" defaultRowHeight="15" x14ac:dyDescent="0.25"/>
  <cols>
    <col min="1" max="1" width="14" customWidth="1"/>
    <col min="2" max="2" width="12" customWidth="1"/>
    <col min="3" max="8" width="10" customWidth="1"/>
  </cols>
  <sheetData>
    <row r="1" spans="1:8" ht="33.75" customHeight="1" x14ac:dyDescent="0.25">
      <c r="A1" s="4" t="s">
        <v>37</v>
      </c>
      <c r="B1" s="4"/>
      <c r="C1" s="4"/>
      <c r="D1" s="4"/>
      <c r="E1" s="4"/>
      <c r="F1" s="4"/>
      <c r="G1" s="4"/>
      <c r="H1" s="4"/>
    </row>
    <row r="2" spans="1:8" ht="30" customHeight="1" x14ac:dyDescent="0.25">
      <c r="A2" s="3" t="s">
        <v>286</v>
      </c>
      <c r="B2" s="3"/>
      <c r="C2" s="3"/>
      <c r="D2" s="3"/>
      <c r="E2" s="3"/>
      <c r="F2" s="3"/>
      <c r="G2" s="3"/>
      <c r="H2" s="3"/>
    </row>
    <row r="3" spans="1:8" ht="15" customHeight="1" x14ac:dyDescent="0.25">
      <c r="A3" s="5" t="s">
        <v>287</v>
      </c>
      <c r="B3" s="5"/>
      <c r="C3" s="5"/>
      <c r="D3" s="5"/>
      <c r="E3" s="5"/>
      <c r="F3" s="5"/>
      <c r="G3" s="5"/>
      <c r="H3" s="5"/>
    </row>
    <row r="4" spans="1:8" ht="15" customHeight="1" x14ac:dyDescent="0.25">
      <c r="A4" s="5"/>
      <c r="B4" s="5"/>
      <c r="C4" s="5"/>
      <c r="D4" s="5"/>
      <c r="E4" s="5"/>
      <c r="F4" s="5"/>
      <c r="G4" s="5"/>
      <c r="H4" s="5"/>
    </row>
    <row r="5" spans="1:8" ht="15" customHeight="1" x14ac:dyDescent="0.25">
      <c r="A5" s="5"/>
      <c r="B5" s="5"/>
      <c r="C5" s="5"/>
      <c r="D5" s="5"/>
      <c r="E5" s="5"/>
      <c r="F5" s="5"/>
      <c r="G5" s="5"/>
      <c r="H5" s="5"/>
    </row>
    <row r="6" spans="1:8" ht="18" customHeight="1" x14ac:dyDescent="0.25">
      <c r="A6" s="1" t="s">
        <v>50</v>
      </c>
      <c r="B6" s="1"/>
      <c r="C6" s="1"/>
      <c r="D6" s="1"/>
      <c r="E6" s="1"/>
      <c r="F6" s="1"/>
      <c r="G6" s="1"/>
      <c r="H6" s="1"/>
    </row>
    <row r="8" spans="1:8" ht="21.75" customHeight="1" x14ac:dyDescent="0.25">
      <c r="A8" s="7" t="s">
        <v>288</v>
      </c>
      <c r="B8" s="7"/>
      <c r="C8" s="7"/>
      <c r="D8" s="7"/>
      <c r="E8" s="7"/>
      <c r="F8" s="7"/>
      <c r="G8" s="7"/>
      <c r="H8" s="7"/>
    </row>
    <row r="9" spans="1:8" ht="27.75" customHeight="1" x14ac:dyDescent="0.25">
      <c r="A9" s="15" t="s">
        <v>289</v>
      </c>
      <c r="B9" s="15" t="s">
        <v>290</v>
      </c>
      <c r="C9" s="15" t="s">
        <v>291</v>
      </c>
      <c r="D9" s="15" t="s">
        <v>292</v>
      </c>
      <c r="E9" s="15" t="s">
        <v>293</v>
      </c>
      <c r="F9" s="15" t="s">
        <v>294</v>
      </c>
      <c r="G9" s="15" t="s">
        <v>295</v>
      </c>
      <c r="H9" s="15" t="s">
        <v>296</v>
      </c>
    </row>
    <row r="10" spans="1:8" x14ac:dyDescent="0.25">
      <c r="A10" s="50" t="s">
        <v>221</v>
      </c>
      <c r="B10" s="17">
        <v>5000</v>
      </c>
      <c r="C10" s="17">
        <v>2900</v>
      </c>
      <c r="D10" s="17">
        <v>2100</v>
      </c>
      <c r="E10" s="17">
        <v>1750</v>
      </c>
      <c r="F10" s="17">
        <v>1550</v>
      </c>
      <c r="G10" s="17">
        <v>1450</v>
      </c>
      <c r="H10" s="17">
        <v>1400</v>
      </c>
    </row>
    <row r="11" spans="1:8" x14ac:dyDescent="0.25">
      <c r="A11" s="50" t="s">
        <v>222</v>
      </c>
      <c r="B11" s="17">
        <v>5600</v>
      </c>
      <c r="C11" s="17">
        <v>3360</v>
      </c>
      <c r="D11" s="17">
        <v>2520</v>
      </c>
      <c r="E11" s="17">
        <v>2130</v>
      </c>
      <c r="F11" s="17">
        <v>1900</v>
      </c>
      <c r="G11" s="17">
        <v>1800</v>
      </c>
      <c r="H11" s="17">
        <v>1750</v>
      </c>
    </row>
    <row r="12" spans="1:8" x14ac:dyDescent="0.25">
      <c r="A12" s="50" t="s">
        <v>223</v>
      </c>
      <c r="B12" s="17">
        <v>6100</v>
      </c>
      <c r="C12" s="17">
        <v>3900</v>
      </c>
      <c r="D12" s="17">
        <v>3050</v>
      </c>
      <c r="E12" s="17">
        <v>2620</v>
      </c>
      <c r="F12" s="17">
        <v>2380</v>
      </c>
      <c r="G12" s="17">
        <v>2260</v>
      </c>
      <c r="H12" s="17">
        <v>2200</v>
      </c>
    </row>
    <row r="13" spans="1:8" x14ac:dyDescent="0.25">
      <c r="A13" s="50" t="s">
        <v>224</v>
      </c>
      <c r="B13" s="17">
        <v>6800</v>
      </c>
      <c r="C13" s="17">
        <v>4490</v>
      </c>
      <c r="D13" s="17">
        <v>3600</v>
      </c>
      <c r="E13" s="17">
        <v>3130</v>
      </c>
      <c r="F13" s="17">
        <v>2860</v>
      </c>
      <c r="G13" s="17">
        <v>2720</v>
      </c>
      <c r="H13" s="17">
        <v>2650</v>
      </c>
    </row>
    <row r="15" spans="1:8" ht="21.75" customHeight="1" x14ac:dyDescent="0.25">
      <c r="A15" s="7" t="s">
        <v>297</v>
      </c>
      <c r="B15" s="7"/>
      <c r="C15" s="7"/>
      <c r="D15" s="7"/>
      <c r="E15" s="7"/>
      <c r="F15" s="7"/>
      <c r="G15" s="7"/>
      <c r="H15" s="7"/>
    </row>
    <row r="16" spans="1:8" ht="27.75" customHeight="1" x14ac:dyDescent="0.25">
      <c r="A16" s="15" t="s">
        <v>289</v>
      </c>
      <c r="B16" s="15" t="s">
        <v>298</v>
      </c>
      <c r="C16" s="15" t="s">
        <v>291</v>
      </c>
      <c r="D16" s="15" t="s">
        <v>292</v>
      </c>
      <c r="E16" s="15" t="s">
        <v>293</v>
      </c>
      <c r="F16" s="15" t="s">
        <v>294</v>
      </c>
      <c r="G16" s="15" t="s">
        <v>295</v>
      </c>
      <c r="H16" s="15" t="s">
        <v>296</v>
      </c>
    </row>
    <row r="17" spans="1:8" x14ac:dyDescent="0.25">
      <c r="A17" s="22" t="str">
        <f>A10</f>
        <v>Jan</v>
      </c>
      <c r="B17" s="37">
        <f>1</f>
        <v>1</v>
      </c>
      <c r="C17" s="37">
        <f t="shared" ref="C17:H17" si="0">C10/$B$10</f>
        <v>0.57999999999999996</v>
      </c>
      <c r="D17" s="37">
        <f t="shared" si="0"/>
        <v>0.42</v>
      </c>
      <c r="E17" s="37">
        <f t="shared" si="0"/>
        <v>0.35</v>
      </c>
      <c r="F17" s="37">
        <f t="shared" si="0"/>
        <v>0.31</v>
      </c>
      <c r="G17" s="37">
        <f t="shared" si="0"/>
        <v>0.28999999999999998</v>
      </c>
      <c r="H17" s="37">
        <f t="shared" si="0"/>
        <v>0.28000000000000003</v>
      </c>
    </row>
    <row r="18" spans="1:8" x14ac:dyDescent="0.25">
      <c r="A18" s="22" t="str">
        <f>A11</f>
        <v>Feb</v>
      </c>
      <c r="B18" s="37">
        <f>1</f>
        <v>1</v>
      </c>
      <c r="C18" s="37">
        <f t="shared" ref="C18:H18" si="1">C11/$B$11</f>
        <v>0.6</v>
      </c>
      <c r="D18" s="37">
        <f t="shared" si="1"/>
        <v>0.45</v>
      </c>
      <c r="E18" s="37">
        <f t="shared" si="1"/>
        <v>0.38035714285714284</v>
      </c>
      <c r="F18" s="37">
        <f t="shared" si="1"/>
        <v>0.3392857142857143</v>
      </c>
      <c r="G18" s="37">
        <f t="shared" si="1"/>
        <v>0.32142857142857145</v>
      </c>
      <c r="H18" s="37">
        <f t="shared" si="1"/>
        <v>0.3125</v>
      </c>
    </row>
    <row r="19" spans="1:8" x14ac:dyDescent="0.25">
      <c r="A19" s="22" t="str">
        <f>A12</f>
        <v>Mar</v>
      </c>
      <c r="B19" s="37">
        <f>1</f>
        <v>1</v>
      </c>
      <c r="C19" s="37">
        <f t="shared" ref="C19:H19" si="2">C12/$B$12</f>
        <v>0.63934426229508201</v>
      </c>
      <c r="D19" s="37">
        <f t="shared" si="2"/>
        <v>0.5</v>
      </c>
      <c r="E19" s="37">
        <f t="shared" si="2"/>
        <v>0.42950819672131146</v>
      </c>
      <c r="F19" s="37">
        <f t="shared" si="2"/>
        <v>0.39016393442622949</v>
      </c>
      <c r="G19" s="37">
        <f t="shared" si="2"/>
        <v>0.37049180327868853</v>
      </c>
      <c r="H19" s="37">
        <f t="shared" si="2"/>
        <v>0.36065573770491804</v>
      </c>
    </row>
    <row r="20" spans="1:8" x14ac:dyDescent="0.25">
      <c r="A20" s="22" t="str">
        <f>A13</f>
        <v>Apr</v>
      </c>
      <c r="B20" s="37">
        <f>1</f>
        <v>1</v>
      </c>
      <c r="C20" s="37">
        <f t="shared" ref="C20:H20" si="3">C13/$B$13</f>
        <v>0.66029411764705881</v>
      </c>
      <c r="D20" s="37">
        <f t="shared" si="3"/>
        <v>0.52941176470588236</v>
      </c>
      <c r="E20" s="37">
        <f t="shared" si="3"/>
        <v>0.4602941176470588</v>
      </c>
      <c r="F20" s="37">
        <f t="shared" si="3"/>
        <v>0.42058823529411765</v>
      </c>
      <c r="G20" s="37">
        <f t="shared" si="3"/>
        <v>0.4</v>
      </c>
      <c r="H20" s="37">
        <f t="shared" si="3"/>
        <v>0.38970588235294118</v>
      </c>
    </row>
    <row r="21" spans="1:8" x14ac:dyDescent="0.25">
      <c r="A21" s="51" t="s">
        <v>299</v>
      </c>
      <c r="B21" s="52">
        <f t="shared" ref="B21:H21" si="4">AVERAGE(B17:B20)</f>
        <v>1</v>
      </c>
      <c r="C21" s="52">
        <f t="shared" si="4"/>
        <v>0.61990959498553522</v>
      </c>
      <c r="D21" s="52">
        <f t="shared" si="4"/>
        <v>0.47485294117647059</v>
      </c>
      <c r="E21" s="52">
        <f t="shared" si="4"/>
        <v>0.40503986430637823</v>
      </c>
      <c r="F21" s="52">
        <f t="shared" si="4"/>
        <v>0.36500947100151537</v>
      </c>
      <c r="G21" s="52">
        <f t="shared" si="4"/>
        <v>0.34548009367681498</v>
      </c>
      <c r="H21" s="52">
        <f t="shared" si="4"/>
        <v>0.33571540501446478</v>
      </c>
    </row>
    <row r="42" spans="1:8" ht="15" customHeight="1" x14ac:dyDescent="0.25">
      <c r="A42" s="5" t="s">
        <v>300</v>
      </c>
      <c r="B42" s="5"/>
      <c r="C42" s="5"/>
      <c r="D42" s="5"/>
      <c r="E42" s="5"/>
      <c r="F42" s="5"/>
      <c r="G42" s="5"/>
      <c r="H42" s="5"/>
    </row>
    <row r="43" spans="1:8" ht="15" customHeight="1" x14ac:dyDescent="0.25">
      <c r="A43" s="5"/>
      <c r="B43" s="5"/>
      <c r="C43" s="5"/>
      <c r="D43" s="5"/>
      <c r="E43" s="5"/>
      <c r="F43" s="5"/>
      <c r="G43" s="5"/>
      <c r="H43" s="5"/>
    </row>
  </sheetData>
  <mergeCells count="7">
    <mergeCell ref="A15:H15"/>
    <mergeCell ref="A42:H43"/>
    <mergeCell ref="A1:H1"/>
    <mergeCell ref="A2:H2"/>
    <mergeCell ref="A3:H5"/>
    <mergeCell ref="A6:H6"/>
    <mergeCell ref="A8:H8"/>
  </mergeCells>
  <pageMargins left="0.75" right="0.75" top="1" bottom="1" header="0.511811023622047" footer="0.511811023622047"/>
  <pageSetup paperSize="9"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showGridLines="0" zoomScaleNormal="100" workbookViewId="0">
      <selection sqref="A1:E1"/>
    </sheetView>
  </sheetViews>
  <sheetFormatPr defaultColWidth="8.7109375" defaultRowHeight="15" x14ac:dyDescent="0.25"/>
  <cols>
    <col min="1" max="1" width="34" customWidth="1"/>
    <col min="2" max="2" width="14" customWidth="1"/>
    <col min="3" max="3" width="4" customWidth="1"/>
    <col min="4" max="4" width="30" customWidth="1"/>
    <col min="5" max="5" width="14" customWidth="1"/>
  </cols>
  <sheetData>
    <row r="1" spans="1:5" ht="33.75" customHeight="1" x14ac:dyDescent="0.25">
      <c r="A1" s="4" t="s">
        <v>301</v>
      </c>
      <c r="B1" s="4"/>
      <c r="C1" s="4"/>
      <c r="D1" s="4"/>
      <c r="E1" s="4"/>
    </row>
    <row r="2" spans="1:5" ht="30" customHeight="1" x14ac:dyDescent="0.25">
      <c r="A2" s="3" t="s">
        <v>302</v>
      </c>
      <c r="B2" s="3"/>
      <c r="C2" s="3"/>
      <c r="D2" s="3"/>
      <c r="E2" s="3"/>
    </row>
    <row r="3" spans="1:5" ht="15" customHeight="1" x14ac:dyDescent="0.25">
      <c r="A3" s="5" t="s">
        <v>303</v>
      </c>
      <c r="B3" s="5"/>
      <c r="C3" s="5"/>
      <c r="D3" s="5"/>
      <c r="E3" s="5"/>
    </row>
    <row r="4" spans="1:5" ht="15" customHeight="1" x14ac:dyDescent="0.25">
      <c r="A4" s="5"/>
      <c r="B4" s="5"/>
      <c r="C4" s="5"/>
      <c r="D4" s="5"/>
      <c r="E4" s="5"/>
    </row>
    <row r="5" spans="1:5" ht="15" customHeight="1" x14ac:dyDescent="0.25">
      <c r="A5" s="5"/>
      <c r="B5" s="5"/>
      <c r="C5" s="5"/>
      <c r="D5" s="5"/>
      <c r="E5" s="5"/>
    </row>
    <row r="6" spans="1:5" ht="18" customHeight="1" x14ac:dyDescent="0.25">
      <c r="A6" s="1" t="s">
        <v>50</v>
      </c>
      <c r="B6" s="1"/>
      <c r="C6" s="1"/>
      <c r="D6" s="1"/>
      <c r="E6" s="1"/>
    </row>
    <row r="8" spans="1:5" ht="21.75" customHeight="1" x14ac:dyDescent="0.25">
      <c r="A8" s="7" t="s">
        <v>304</v>
      </c>
      <c r="B8" s="7"/>
    </row>
    <row r="9" spans="1:5" ht="27.75" customHeight="1" x14ac:dyDescent="0.25">
      <c r="A9" s="15" t="s">
        <v>305</v>
      </c>
      <c r="B9" s="15" t="s">
        <v>306</v>
      </c>
    </row>
    <row r="10" spans="1:5" x14ac:dyDescent="0.25">
      <c r="A10" s="16" t="s">
        <v>307</v>
      </c>
      <c r="B10" s="17">
        <v>210</v>
      </c>
    </row>
    <row r="11" spans="1:5" x14ac:dyDescent="0.25">
      <c r="A11" s="16" t="s">
        <v>308</v>
      </c>
      <c r="B11" s="17">
        <v>180</v>
      </c>
    </row>
    <row r="12" spans="1:5" x14ac:dyDescent="0.25">
      <c r="A12" s="16" t="s">
        <v>309</v>
      </c>
      <c r="B12" s="17">
        <v>90</v>
      </c>
    </row>
    <row r="13" spans="1:5" x14ac:dyDescent="0.25">
      <c r="A13" s="16" t="s">
        <v>310</v>
      </c>
      <c r="B13" s="17">
        <v>20</v>
      </c>
    </row>
    <row r="14" spans="1:5" x14ac:dyDescent="0.25">
      <c r="A14" s="32" t="s">
        <v>311</v>
      </c>
      <c r="B14" s="21">
        <f>B10+B11+B12</f>
        <v>480</v>
      </c>
    </row>
    <row r="15" spans="1:5" x14ac:dyDescent="0.25">
      <c r="A15" s="38" t="s">
        <v>312</v>
      </c>
      <c r="B15" s="53">
        <f>B10/B14</f>
        <v>0.4375</v>
      </c>
    </row>
    <row r="16" spans="1:5" x14ac:dyDescent="0.25">
      <c r="A16" s="32" t="s">
        <v>313</v>
      </c>
      <c r="B16" s="22" t="str">
        <f>IF(B15&gt;=0.4,"PMF signal ✓",IF(B15&gt;=0.25,"Getting there","Not yet"))</f>
        <v>PMF signal ✓</v>
      </c>
    </row>
    <row r="18" spans="1:5" ht="15" customHeight="1" x14ac:dyDescent="0.25">
      <c r="A18" s="5" t="s">
        <v>314</v>
      </c>
      <c r="B18" s="5"/>
      <c r="C18" s="5"/>
      <c r="D18" s="5"/>
      <c r="E18" s="5"/>
    </row>
    <row r="19" spans="1:5" ht="15" customHeight="1" x14ac:dyDescent="0.25">
      <c r="A19" s="5"/>
      <c r="B19" s="5"/>
      <c r="C19" s="5"/>
      <c r="D19" s="5"/>
      <c r="E19" s="5"/>
    </row>
  </sheetData>
  <mergeCells count="6">
    <mergeCell ref="A18:E19"/>
    <mergeCell ref="A1:E1"/>
    <mergeCell ref="A2:E2"/>
    <mergeCell ref="A3:E5"/>
    <mergeCell ref="A6:E6"/>
    <mergeCell ref="A8:B8"/>
  </mergeCells>
  <pageMargins left="0.75" right="0.75" top="1" bottom="1" header="0.511811023622047" footer="0.511811023622047"/>
  <pageSetup paperSize="9"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9"/>
  <sheetViews>
    <sheetView showGridLines="0" zoomScaleNormal="100" workbookViewId="0">
      <selection sqref="A1:E1"/>
    </sheetView>
  </sheetViews>
  <sheetFormatPr defaultColWidth="8.7109375" defaultRowHeight="15" x14ac:dyDescent="0.25"/>
  <cols>
    <col min="1" max="1" width="34" customWidth="1"/>
    <col min="2" max="2" width="16" customWidth="1"/>
    <col min="3" max="3" width="4" customWidth="1"/>
    <col min="4" max="4" width="34" customWidth="1"/>
    <col min="5" max="5" width="16" customWidth="1"/>
  </cols>
  <sheetData>
    <row r="1" spans="1:5" ht="33.75" customHeight="1" x14ac:dyDescent="0.25">
      <c r="A1" s="4" t="s">
        <v>315</v>
      </c>
      <c r="B1" s="4"/>
      <c r="C1" s="4"/>
      <c r="D1" s="4"/>
      <c r="E1" s="4"/>
    </row>
    <row r="2" spans="1:5" ht="30" customHeight="1" x14ac:dyDescent="0.25">
      <c r="A2" s="3" t="s">
        <v>316</v>
      </c>
      <c r="B2" s="3"/>
      <c r="C2" s="3"/>
      <c r="D2" s="3"/>
      <c r="E2" s="3"/>
    </row>
    <row r="3" spans="1:5" ht="15" customHeight="1" x14ac:dyDescent="0.25">
      <c r="A3" s="5" t="s">
        <v>317</v>
      </c>
      <c r="B3" s="5"/>
      <c r="C3" s="5"/>
      <c r="D3" s="5"/>
      <c r="E3" s="5"/>
    </row>
    <row r="4" spans="1:5" ht="15" customHeight="1" x14ac:dyDescent="0.25">
      <c r="A4" s="5"/>
      <c r="B4" s="5"/>
      <c r="C4" s="5"/>
      <c r="D4" s="5"/>
      <c r="E4" s="5"/>
    </row>
    <row r="5" spans="1:5" ht="15" customHeight="1" x14ac:dyDescent="0.25">
      <c r="A5" s="5"/>
      <c r="B5" s="5"/>
      <c r="C5" s="5"/>
      <c r="D5" s="5"/>
      <c r="E5" s="5"/>
    </row>
    <row r="6" spans="1:5" ht="18" customHeight="1" x14ac:dyDescent="0.25">
      <c r="A6" s="1" t="s">
        <v>50</v>
      </c>
      <c r="B6" s="1"/>
      <c r="C6" s="1"/>
      <c r="D6" s="1"/>
      <c r="E6" s="1"/>
    </row>
    <row r="8" spans="1:5" ht="21.75" customHeight="1" x14ac:dyDescent="0.25">
      <c r="A8" s="7" t="s">
        <v>318</v>
      </c>
      <c r="B8" s="7"/>
      <c r="D8" s="7" t="s">
        <v>319</v>
      </c>
      <c r="E8" s="7"/>
    </row>
    <row r="9" spans="1:5" ht="27.75" customHeight="1" x14ac:dyDescent="0.25">
      <c r="A9" s="15" t="s">
        <v>320</v>
      </c>
      <c r="B9" s="15" t="s">
        <v>321</v>
      </c>
      <c r="D9" s="32" t="s">
        <v>322</v>
      </c>
      <c r="E9" s="41">
        <f>B11/B10</f>
        <v>0.08</v>
      </c>
    </row>
    <row r="10" spans="1:5" x14ac:dyDescent="0.25">
      <c r="A10" s="16" t="s">
        <v>323</v>
      </c>
      <c r="B10" s="17">
        <v>20000</v>
      </c>
      <c r="D10" s="32" t="s">
        <v>324</v>
      </c>
      <c r="E10" s="41">
        <f>B13/B12</f>
        <v>8.7999999999999995E-2</v>
      </c>
    </row>
    <row r="11" spans="1:5" x14ac:dyDescent="0.25">
      <c r="A11" s="16" t="s">
        <v>325</v>
      </c>
      <c r="B11" s="17">
        <v>1600</v>
      </c>
      <c r="D11" s="32" t="s">
        <v>326</v>
      </c>
      <c r="E11" s="41">
        <f>B13/B12-B11/B10</f>
        <v>7.9999999999999932E-3</v>
      </c>
    </row>
    <row r="12" spans="1:5" x14ac:dyDescent="0.25">
      <c r="A12" s="16" t="s">
        <v>327</v>
      </c>
      <c r="B12" s="17">
        <v>20000</v>
      </c>
      <c r="D12" s="32" t="s">
        <v>328</v>
      </c>
      <c r="E12" s="41">
        <f>IFERROR((B13/B12)/(B11/B10)-1,0)</f>
        <v>9.9999999999999867E-2</v>
      </c>
    </row>
    <row r="13" spans="1:5" x14ac:dyDescent="0.25">
      <c r="A13" s="16" t="s">
        <v>329</v>
      </c>
      <c r="B13" s="17">
        <v>1760</v>
      </c>
      <c r="D13" s="13" t="s">
        <v>330</v>
      </c>
      <c r="E13" s="36">
        <f>(B11+B13)/(B10+B12)</f>
        <v>8.4000000000000005E-2</v>
      </c>
    </row>
    <row r="14" spans="1:5" x14ac:dyDescent="0.25">
      <c r="D14" s="13" t="s">
        <v>331</v>
      </c>
      <c r="E14" s="54">
        <f>SQRT(E13*(1-E13)*(1/B10+1/B12))</f>
        <v>2.7738781516137298E-3</v>
      </c>
    </row>
    <row r="15" spans="1:5" x14ac:dyDescent="0.25">
      <c r="A15" s="55" t="s">
        <v>332</v>
      </c>
      <c r="B15" s="36">
        <f>B11/B10</f>
        <v>0.08</v>
      </c>
      <c r="D15" s="32" t="s">
        <v>333</v>
      </c>
      <c r="E15" s="56">
        <f>IFERROR((B13/B12-B11/B10)/E14,0)</f>
        <v>2.8840488164002149</v>
      </c>
    </row>
    <row r="16" spans="1:5" x14ac:dyDescent="0.25">
      <c r="A16" s="55" t="s">
        <v>334</v>
      </c>
      <c r="B16" s="36">
        <f>B13/B12</f>
        <v>8.7999999999999995E-2</v>
      </c>
      <c r="D16" s="32" t="s">
        <v>335</v>
      </c>
      <c r="E16" s="22" t="str">
        <f>IF(ABS(E15)&gt;1.96,"YES ✓","No")</f>
        <v>YES ✓</v>
      </c>
    </row>
    <row r="17" spans="1:5" x14ac:dyDescent="0.25">
      <c r="D17" s="32" t="s">
        <v>336</v>
      </c>
      <c r="E17" s="22" t="str">
        <f>IF(ABS(E15)&gt;2.576,"YES ✓","No")</f>
        <v>YES ✓</v>
      </c>
    </row>
    <row r="18" spans="1:5" ht="15" customHeight="1" x14ac:dyDescent="0.25">
      <c r="A18" s="5" t="s">
        <v>337</v>
      </c>
      <c r="B18" s="5"/>
      <c r="C18" s="5"/>
      <c r="D18" s="5"/>
      <c r="E18" s="5"/>
    </row>
    <row r="19" spans="1:5" ht="15" customHeight="1" x14ac:dyDescent="0.25">
      <c r="A19" s="5"/>
      <c r="B19" s="5"/>
      <c r="C19" s="5"/>
      <c r="D19" s="5"/>
      <c r="E19" s="5"/>
    </row>
  </sheetData>
  <mergeCells count="7">
    <mergeCell ref="A18:E19"/>
    <mergeCell ref="A1:E1"/>
    <mergeCell ref="A2:E2"/>
    <mergeCell ref="A3:E5"/>
    <mergeCell ref="A6:E6"/>
    <mergeCell ref="A8:B8"/>
    <mergeCell ref="D8:E8"/>
  </mergeCells>
  <pageMargins left="0.75" right="0.75" top="1" bottom="1" header="0.511811023622047" footer="0.511811023622047"/>
  <pageSetup paperSize="9" orientation="portrait"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33"/>
  <sheetViews>
    <sheetView showGridLines="0" zoomScaleNormal="100" workbookViewId="0">
      <selection sqref="A1:G1"/>
    </sheetView>
  </sheetViews>
  <sheetFormatPr defaultColWidth="8.7109375" defaultRowHeight="15" x14ac:dyDescent="0.25"/>
  <cols>
    <col min="1" max="1" width="26" customWidth="1"/>
    <col min="2" max="2" width="30" customWidth="1"/>
    <col min="3" max="5" width="10" customWidth="1"/>
    <col min="6" max="6" width="12" customWidth="1"/>
    <col min="7" max="7" width="13" customWidth="1"/>
  </cols>
  <sheetData>
    <row r="1" spans="1:7" ht="33.75" customHeight="1" x14ac:dyDescent="0.25">
      <c r="A1" s="4" t="s">
        <v>44</v>
      </c>
      <c r="B1" s="4"/>
      <c r="C1" s="4"/>
      <c r="D1" s="4"/>
      <c r="E1" s="4"/>
      <c r="F1" s="4"/>
      <c r="G1" s="4"/>
    </row>
    <row r="2" spans="1:7" ht="30" customHeight="1" x14ac:dyDescent="0.25">
      <c r="A2" s="3" t="s">
        <v>338</v>
      </c>
      <c r="B2" s="3"/>
      <c r="C2" s="3"/>
      <c r="D2" s="3"/>
      <c r="E2" s="3"/>
      <c r="F2" s="3"/>
      <c r="G2" s="3"/>
    </row>
    <row r="3" spans="1:7" ht="15" customHeight="1" x14ac:dyDescent="0.25">
      <c r="A3" s="5" t="s">
        <v>339</v>
      </c>
      <c r="B3" s="5"/>
      <c r="C3" s="5"/>
      <c r="D3" s="5"/>
      <c r="E3" s="5"/>
      <c r="F3" s="5"/>
      <c r="G3" s="5"/>
    </row>
    <row r="4" spans="1:7" ht="15" customHeight="1" x14ac:dyDescent="0.25">
      <c r="A4" s="5"/>
      <c r="B4" s="5"/>
      <c r="C4" s="5"/>
      <c r="D4" s="5"/>
      <c r="E4" s="5"/>
      <c r="F4" s="5"/>
      <c r="G4" s="5"/>
    </row>
    <row r="5" spans="1:7" ht="15" customHeight="1" x14ac:dyDescent="0.25">
      <c r="A5" s="5"/>
      <c r="B5" s="5"/>
      <c r="C5" s="5"/>
      <c r="D5" s="5"/>
      <c r="E5" s="5"/>
      <c r="F5" s="5"/>
      <c r="G5" s="5"/>
    </row>
    <row r="6" spans="1:7" ht="18" customHeight="1" x14ac:dyDescent="0.25">
      <c r="A6" s="1" t="s">
        <v>50</v>
      </c>
      <c r="B6" s="1"/>
      <c r="C6" s="1"/>
      <c r="D6" s="1"/>
      <c r="E6" s="1"/>
      <c r="F6" s="1"/>
      <c r="G6" s="1"/>
    </row>
    <row r="8" spans="1:7" ht="27.75" customHeight="1" x14ac:dyDescent="0.25">
      <c r="A8" s="15" t="s">
        <v>340</v>
      </c>
      <c r="B8" s="15" t="s">
        <v>341</v>
      </c>
      <c r="C8" s="15" t="s">
        <v>342</v>
      </c>
      <c r="D8" s="15" t="s">
        <v>209</v>
      </c>
      <c r="E8" s="15" t="s">
        <v>255</v>
      </c>
      <c r="F8" s="15" t="s">
        <v>343</v>
      </c>
      <c r="G8" s="15" t="s">
        <v>344</v>
      </c>
    </row>
    <row r="9" spans="1:7" x14ac:dyDescent="0.25">
      <c r="A9" s="16" t="s">
        <v>345</v>
      </c>
      <c r="B9" s="16" t="s">
        <v>346</v>
      </c>
      <c r="C9" s="20">
        <v>28</v>
      </c>
      <c r="D9" s="20">
        <v>33</v>
      </c>
      <c r="E9" s="20">
        <v>40</v>
      </c>
      <c r="F9" s="24">
        <f>IFERROR(MEDIAN(0,(D9-C9)/(E9-C9),1),0)</f>
        <v>0.41666666666666669</v>
      </c>
      <c r="G9" s="22" t="str">
        <f>IF(F9&gt;=0.7,"On track",IF(F9&gt;=0.4,"At risk","Off track"))</f>
        <v>At risk</v>
      </c>
    </row>
    <row r="10" spans="1:7" x14ac:dyDescent="0.25">
      <c r="A10" s="16" t="s">
        <v>345</v>
      </c>
      <c r="B10" s="16" t="s">
        <v>347</v>
      </c>
      <c r="C10" s="20">
        <v>88</v>
      </c>
      <c r="D10" s="20">
        <v>92</v>
      </c>
      <c r="E10" s="20">
        <v>95</v>
      </c>
      <c r="F10" s="24">
        <f>IFERROR(MEDIAN(0,(D10-C10)/(E10-C10),1),0)</f>
        <v>0.5714285714285714</v>
      </c>
      <c r="G10" s="22" t="str">
        <f>IF(F10&gt;=0.7,"On track",IF(F10&gt;=0.4,"At risk","Off track"))</f>
        <v>At risk</v>
      </c>
    </row>
    <row r="11" spans="1:7" x14ac:dyDescent="0.25">
      <c r="A11" s="16" t="s">
        <v>348</v>
      </c>
      <c r="B11" s="16" t="s">
        <v>349</v>
      </c>
      <c r="C11" s="20">
        <v>300</v>
      </c>
      <c r="D11" s="20">
        <v>520</v>
      </c>
      <c r="E11" s="20">
        <v>800</v>
      </c>
      <c r="F11" s="24">
        <f>IFERROR(MEDIAN(0,(D11-C11)/(E11-C11),1),0)</f>
        <v>0.44</v>
      </c>
      <c r="G11" s="22" t="str">
        <f>IF(F11&gt;=0.7,"On track",IF(F11&gt;=0.4,"At risk","Off track"))</f>
        <v>At risk</v>
      </c>
    </row>
    <row r="12" spans="1:7" x14ac:dyDescent="0.25">
      <c r="A12" s="16" t="s">
        <v>348</v>
      </c>
      <c r="B12" s="16" t="s">
        <v>350</v>
      </c>
      <c r="C12" s="20">
        <v>2.1</v>
      </c>
      <c r="D12" s="20">
        <v>2.6</v>
      </c>
      <c r="E12" s="20">
        <v>3.2</v>
      </c>
      <c r="F12" s="24">
        <f>IFERROR(MEDIAN(0,(D12-C12)/(E12-C12),1),0)</f>
        <v>0.45454545454545453</v>
      </c>
      <c r="G12" s="22" t="str">
        <f>IF(F12&gt;=0.7,"On track",IF(F12&gt;=0.4,"At risk","Off track"))</f>
        <v>At risk</v>
      </c>
    </row>
    <row r="13" spans="1:7" x14ac:dyDescent="0.25">
      <c r="A13" s="16" t="s">
        <v>351</v>
      </c>
      <c r="B13" s="16" t="s">
        <v>352</v>
      </c>
      <c r="C13" s="20">
        <v>1.8</v>
      </c>
      <c r="D13" s="20">
        <v>2.4</v>
      </c>
      <c r="E13" s="20">
        <v>3</v>
      </c>
      <c r="F13" s="24">
        <f>IFERROR(MEDIAN(0,(D13-C13)/(E13-C13),1),0)</f>
        <v>0.49999999999999989</v>
      </c>
      <c r="G13" s="22" t="str">
        <f>IF(F13&gt;=0.7,"On track",IF(F13&gt;=0.4,"At risk","Off track"))</f>
        <v>At risk</v>
      </c>
    </row>
    <row r="32" spans="1:7" ht="15" customHeight="1" x14ac:dyDescent="0.25">
      <c r="A32" s="5" t="s">
        <v>353</v>
      </c>
      <c r="B32" s="5"/>
      <c r="C32" s="5"/>
      <c r="D32" s="5"/>
      <c r="E32" s="5"/>
      <c r="F32" s="5"/>
      <c r="G32" s="5"/>
    </row>
    <row r="33" spans="1:7" ht="15" customHeight="1" x14ac:dyDescent="0.25">
      <c r="A33" s="5"/>
      <c r="B33" s="5"/>
      <c r="C33" s="5"/>
      <c r="D33" s="5"/>
      <c r="E33" s="5"/>
      <c r="F33" s="5"/>
      <c r="G33" s="5"/>
    </row>
  </sheetData>
  <mergeCells count="5">
    <mergeCell ref="A1:G1"/>
    <mergeCell ref="A2:G2"/>
    <mergeCell ref="A3:G5"/>
    <mergeCell ref="A6:G6"/>
    <mergeCell ref="A32:G33"/>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Start Here</vt:lpstr>
      <vt:lpstr>RICE</vt:lpstr>
      <vt:lpstr>Weighted Scoring</vt:lpstr>
      <vt:lpstr>Value vs Effort</vt:lpstr>
      <vt:lpstr>Kano Model</vt:lpstr>
      <vt:lpstr>WSJF</vt:lpstr>
      <vt:lpstr>MoSCoW</vt:lpstr>
      <vt:lpstr>Opportunity Scoring</vt:lpstr>
      <vt:lpstr>BCG Matrix</vt:lpstr>
      <vt:lpstr>Ansoff Matrix</vt:lpstr>
      <vt:lpstr>Porter 5 Forces</vt:lpstr>
      <vt:lpstr>North Star</vt:lpstr>
      <vt:lpstr>AARRR Funnel</vt:lpstr>
      <vt:lpstr>HEART</vt:lpstr>
      <vt:lpstr>Unit Economics</vt:lpstr>
      <vt:lpstr>Cohort Retention</vt:lpstr>
      <vt:lpstr>PMF Survey</vt:lpstr>
      <vt:lpstr>A-B Test</vt:lpstr>
      <vt:lpstr>OKR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Amit Grover</cp:lastModifiedBy>
  <cp:revision>2</cp:revision>
  <dcterms:created xsi:type="dcterms:W3CDTF">2026-08-11T13:39:32Z</dcterms:created>
  <dcterms:modified xsi:type="dcterms:W3CDTF">2026-08-12T04:48:54Z</dcterms:modified>
  <dc:language>en-US</dc:language>
</cp:coreProperties>
</file>